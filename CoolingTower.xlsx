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cc\Downloads\"/>
    </mc:Choice>
  </mc:AlternateContent>
  <xr:revisionPtr revIDLastSave="0" documentId="13_ncr:1_{BF93F93A-24A8-4A60-8AF1-1D13C82C565D}" xr6:coauthVersionLast="47" xr6:coauthVersionMax="47" xr10:uidLastSave="{00000000-0000-0000-0000-000000000000}"/>
  <bookViews>
    <workbookView xWindow="-120" yWindow="-120" windowWidth="29040" windowHeight="15720" xr2:uid="{53B3F751-6E25-42C7-9864-C0800CC09DEC}"/>
  </bookViews>
  <sheets>
    <sheet name="Sheet1" sheetId="1" r:id="rId1"/>
  </sheets>
  <definedNames>
    <definedName name="a.">Sheet1!$B$18</definedName>
    <definedName name="AntA.">Sheet1!$B$1</definedName>
    <definedName name="AntB.">Sheet1!$B$2</definedName>
    <definedName name="AntC.">Sheet1!$B$3</definedName>
    <definedName name="CairIn.">Sheet1!$B$11</definedName>
    <definedName name="Cpa.">Sheet1!$B$23</definedName>
    <definedName name="Cpw.">Sheet1!$B$21</definedName>
    <definedName name="Csat.">Sheet1!$B$10</definedName>
    <definedName name="dz.">Sheet1!$B$5</definedName>
    <definedName name="G.">Sheet1!$B$27</definedName>
    <definedName name="h.">Sheet1!$B$19</definedName>
    <definedName name="kc.">Sheet1!$B$20</definedName>
    <definedName name="L.">Sheet1!$B$22</definedName>
    <definedName name="lambda.">Sheet1!$B$25</definedName>
    <definedName name="R.">Sheet1!$B$4</definedName>
    <definedName name="RHairIn.">Sheet1!$B$9</definedName>
    <definedName name="rhoair.">Sheet1!$B$24</definedName>
    <definedName name="solver_adj" localSheetId="0" hidden="1">Sheet1!$B$5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Sheet1!$B$16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TairIn.">Sheet1!$B$8</definedName>
    <definedName name="Twin.">Sheet1!$B$13</definedName>
    <definedName name="Twoutguess.">Sheet1!$B$14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" l="1"/>
  <c r="H2" i="1" s="1"/>
  <c r="J2" i="1" s="1"/>
  <c r="B13" i="1"/>
  <c r="B8" i="1"/>
  <c r="B24" i="1" s="1"/>
  <c r="B20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B6" i="1" s="1"/>
  <c r="F2" i="1"/>
  <c r="D1" i="1"/>
  <c r="I2" i="1" l="1" a="1"/>
  <c r="I2" i="1" s="1"/>
  <c r="B10" i="1"/>
  <c r="B11" i="1" s="1" a="1"/>
  <c r="B11" i="1" s="1"/>
  <c r="G2" i="1" s="1"/>
  <c r="K2" i="1" l="1"/>
  <c r="L2" i="1" s="1"/>
  <c r="G3" i="1" s="1"/>
  <c r="M2" i="1"/>
  <c r="H3" i="1" s="1"/>
  <c r="N2" i="1"/>
  <c r="I3" i="1" s="1"/>
  <c r="N3" i="1" l="1"/>
  <c r="I4" i="1" s="1"/>
  <c r="J3" i="1"/>
  <c r="K3" i="1" s="1"/>
  <c r="L3" i="1" s="1"/>
  <c r="G4" i="1" s="1"/>
  <c r="M3" i="1" l="1"/>
  <c r="H4" i="1" s="1"/>
  <c r="J4" i="1" l="1"/>
  <c r="K4" i="1" s="1"/>
  <c r="N4" i="1"/>
  <c r="I5" i="1" s="1"/>
  <c r="L4" i="1" l="1"/>
  <c r="G5" i="1" s="1"/>
  <c r="M4" i="1"/>
  <c r="H5" i="1" s="1"/>
  <c r="N5" i="1" l="1"/>
  <c r="I6" i="1" s="1"/>
  <c r="J5" i="1"/>
  <c r="K5" i="1" s="1"/>
  <c r="L5" i="1" s="1"/>
  <c r="G6" i="1" s="1"/>
  <c r="M5" i="1" l="1"/>
  <c r="H6" i="1" s="1"/>
  <c r="J6" i="1" s="1"/>
  <c r="K6" i="1" s="1"/>
  <c r="L6" i="1" s="1"/>
  <c r="G7" i="1" s="1"/>
  <c r="N6" i="1" l="1"/>
  <c r="I7" i="1" s="1"/>
  <c r="M6" i="1"/>
  <c r="H7" i="1" s="1"/>
  <c r="N7" i="1" l="1"/>
  <c r="I8" i="1" s="1"/>
  <c r="J7" i="1"/>
  <c r="K7" i="1" s="1"/>
  <c r="L7" i="1" s="1"/>
  <c r="G8" i="1" s="1"/>
  <c r="M7" i="1" l="1"/>
  <c r="H8" i="1" s="1"/>
  <c r="N8" i="1" s="1"/>
  <c r="I9" i="1" s="1"/>
  <c r="J8" i="1" l="1"/>
  <c r="K8" i="1" s="1"/>
  <c r="L8" i="1" s="1"/>
  <c r="G9" i="1" s="1"/>
  <c r="M8" i="1" l="1"/>
  <c r="H9" i="1" s="1"/>
  <c r="J9" i="1" s="1"/>
  <c r="K9" i="1" s="1"/>
  <c r="L9" i="1" s="1"/>
  <c r="G10" i="1" s="1"/>
  <c r="M9" i="1" l="1"/>
  <c r="H10" i="1" s="1"/>
  <c r="J10" i="1" s="1"/>
  <c r="K10" i="1" s="1"/>
  <c r="L10" i="1" s="1"/>
  <c r="G11" i="1" s="1"/>
  <c r="N9" i="1"/>
  <c r="I10" i="1" s="1"/>
  <c r="N10" i="1" l="1"/>
  <c r="I11" i="1" s="1"/>
  <c r="M10" i="1"/>
  <c r="H11" i="1" s="1"/>
  <c r="J11" i="1" s="1"/>
  <c r="K11" i="1" s="1"/>
  <c r="L11" i="1" s="1"/>
  <c r="G12" i="1" s="1"/>
  <c r="N11" i="1" l="1"/>
  <c r="I12" i="1" s="1"/>
  <c r="M11" i="1"/>
  <c r="H12" i="1" s="1"/>
  <c r="J12" i="1" l="1"/>
  <c r="K12" i="1" s="1"/>
  <c r="L12" i="1" s="1"/>
  <c r="G13" i="1" s="1"/>
  <c r="N12" i="1"/>
  <c r="I13" i="1" s="1"/>
  <c r="M12" i="1" l="1"/>
  <c r="H13" i="1" s="1"/>
  <c r="N13" i="1" s="1"/>
  <c r="I14" i="1" s="1"/>
  <c r="J13" i="1" l="1"/>
  <c r="K13" i="1" s="1"/>
  <c r="L13" i="1" s="1"/>
  <c r="G14" i="1" s="1"/>
  <c r="M13" i="1" l="1"/>
  <c r="H14" i="1" s="1"/>
  <c r="N14" i="1" s="1"/>
  <c r="I15" i="1" s="1"/>
  <c r="J14" i="1" l="1"/>
  <c r="K14" i="1" s="1"/>
  <c r="L14" i="1" s="1"/>
  <c r="G15" i="1" s="1"/>
  <c r="M14" i="1" l="1"/>
  <c r="H15" i="1" s="1"/>
  <c r="N15" i="1" s="1"/>
  <c r="I16" i="1" s="1"/>
  <c r="J15" i="1" l="1"/>
  <c r="K15" i="1" s="1"/>
  <c r="L15" i="1" s="1"/>
  <c r="G16" i="1" s="1"/>
  <c r="M15" i="1" l="1"/>
  <c r="H16" i="1" s="1"/>
  <c r="J16" i="1" l="1"/>
  <c r="K16" i="1" s="1"/>
  <c r="L16" i="1" s="1"/>
  <c r="G17" i="1" s="1"/>
  <c r="N16" i="1"/>
  <c r="I17" i="1" s="1"/>
  <c r="M16" i="1" l="1"/>
  <c r="H17" i="1" s="1"/>
  <c r="N17" i="1" l="1"/>
  <c r="I18" i="1" s="1"/>
  <c r="J17" i="1"/>
  <c r="K17" i="1" s="1"/>
  <c r="L17" i="1" s="1"/>
  <c r="G18" i="1" s="1"/>
  <c r="M17" i="1" l="1"/>
  <c r="H18" i="1" s="1"/>
  <c r="N18" i="1" l="1"/>
  <c r="I19" i="1" s="1"/>
  <c r="J18" i="1"/>
  <c r="K18" i="1" s="1"/>
  <c r="L18" i="1" l="1"/>
  <c r="G19" i="1" s="1"/>
  <c r="M18" i="1"/>
  <c r="H19" i="1" s="1"/>
  <c r="N19" i="1" l="1"/>
  <c r="I20" i="1" s="1"/>
  <c r="J19" i="1"/>
  <c r="K19" i="1" s="1"/>
  <c r="L19" i="1" l="1"/>
  <c r="G20" i="1" s="1"/>
  <c r="M19" i="1"/>
  <c r="H20" i="1" s="1"/>
  <c r="N20" i="1" l="1"/>
  <c r="I21" i="1" s="1"/>
  <c r="J20" i="1"/>
  <c r="K20" i="1" s="1"/>
  <c r="L20" i="1" s="1"/>
  <c r="G21" i="1" s="1"/>
  <c r="M20" i="1" l="1"/>
  <c r="H21" i="1" s="1"/>
  <c r="N21" i="1" l="1"/>
  <c r="I22" i="1" s="1"/>
  <c r="J21" i="1"/>
  <c r="K21" i="1" s="1"/>
  <c r="L21" i="1" s="1"/>
  <c r="G22" i="1" s="1"/>
  <c r="M21" i="1" l="1"/>
  <c r="H22" i="1" s="1"/>
  <c r="N22" i="1" s="1"/>
  <c r="I23" i="1" s="1"/>
  <c r="J22" i="1" l="1"/>
  <c r="K22" i="1" s="1"/>
  <c r="L22" i="1" s="1"/>
  <c r="G23" i="1" s="1"/>
  <c r="M22" i="1" l="1"/>
  <c r="H23" i="1" s="1"/>
  <c r="N23" i="1" s="1"/>
  <c r="I24" i="1" s="1"/>
  <c r="J23" i="1" l="1"/>
  <c r="K23" i="1" s="1"/>
  <c r="L23" i="1" s="1"/>
  <c r="G24" i="1" s="1"/>
  <c r="M23" i="1" l="1"/>
  <c r="H24" i="1" s="1"/>
  <c r="J24" i="1" s="1"/>
  <c r="K24" i="1" s="1"/>
  <c r="L24" i="1" s="1"/>
  <c r="G25" i="1" s="1"/>
  <c r="N24" i="1" l="1"/>
  <c r="I25" i="1" s="1"/>
  <c r="M24" i="1"/>
  <c r="H25" i="1" s="1"/>
  <c r="J25" i="1" s="1"/>
  <c r="K25" i="1" s="1"/>
  <c r="L25" i="1" s="1"/>
  <c r="G26" i="1" s="1"/>
  <c r="M25" i="1" l="1"/>
  <c r="H26" i="1" s="1"/>
  <c r="J26" i="1" s="1"/>
  <c r="K26" i="1" s="1"/>
  <c r="L26" i="1" s="1"/>
  <c r="G27" i="1" s="1"/>
  <c r="N25" i="1"/>
  <c r="I26" i="1" s="1"/>
  <c r="N26" i="1" s="1"/>
  <c r="I27" i="1" s="1"/>
  <c r="M26" i="1" l="1"/>
  <c r="H27" i="1" s="1"/>
  <c r="J27" i="1" s="1"/>
  <c r="K27" i="1" s="1"/>
  <c r="L27" i="1" s="1"/>
  <c r="G28" i="1" s="1"/>
  <c r="M27" i="1"/>
  <c r="H28" i="1" s="1"/>
  <c r="J28" i="1" s="1"/>
  <c r="K28" i="1" s="1"/>
  <c r="L28" i="1" s="1"/>
  <c r="G29" i="1" s="1"/>
  <c r="N27" i="1"/>
  <c r="I28" i="1" s="1"/>
  <c r="N28" i="1" l="1"/>
  <c r="I29" i="1" s="1"/>
  <c r="M28" i="1"/>
  <c r="H29" i="1" s="1"/>
  <c r="N29" i="1"/>
  <c r="I30" i="1" s="1"/>
  <c r="J29" i="1"/>
  <c r="K29" i="1" s="1"/>
  <c r="L29" i="1" l="1"/>
  <c r="G30" i="1" s="1"/>
  <c r="M29" i="1"/>
  <c r="H30" i="1" s="1"/>
  <c r="J30" i="1" l="1"/>
  <c r="K30" i="1" s="1"/>
  <c r="L30" i="1" s="1"/>
  <c r="G31" i="1" s="1"/>
  <c r="N30" i="1"/>
  <c r="I31" i="1" s="1"/>
  <c r="M30" i="1" l="1"/>
  <c r="H31" i="1" s="1"/>
  <c r="N31" i="1" s="1"/>
  <c r="I32" i="1" s="1"/>
  <c r="J31" i="1" l="1"/>
  <c r="K31" i="1" s="1"/>
  <c r="L31" i="1" s="1"/>
  <c r="G32" i="1" s="1"/>
  <c r="M31" i="1"/>
  <c r="H32" i="1" s="1"/>
  <c r="N32" i="1" l="1"/>
  <c r="I33" i="1" s="1"/>
  <c r="J32" i="1"/>
  <c r="K32" i="1" s="1"/>
  <c r="L32" i="1" s="1"/>
  <c r="G33" i="1" s="1"/>
  <c r="M32" i="1" l="1"/>
  <c r="H33" i="1" s="1"/>
  <c r="J33" i="1" l="1"/>
  <c r="K33" i="1" s="1"/>
  <c r="L33" i="1" s="1"/>
  <c r="G34" i="1" s="1"/>
  <c r="N33" i="1"/>
  <c r="I34" i="1" s="1"/>
  <c r="M33" i="1" l="1"/>
  <c r="H34" i="1" s="1"/>
  <c r="J34" i="1" s="1"/>
  <c r="K34" i="1" s="1"/>
  <c r="N34" i="1" l="1"/>
  <c r="I35" i="1" s="1"/>
  <c r="L34" i="1"/>
  <c r="G35" i="1" s="1"/>
  <c r="M34" i="1"/>
  <c r="H35" i="1" s="1"/>
  <c r="N35" i="1" l="1"/>
  <c r="I36" i="1" s="1"/>
  <c r="J35" i="1"/>
  <c r="K35" i="1" s="1"/>
  <c r="L35" i="1" l="1"/>
  <c r="G36" i="1" s="1"/>
  <c r="M35" i="1"/>
  <c r="H36" i="1" s="1"/>
  <c r="J36" i="1" l="1"/>
  <c r="K36" i="1" s="1"/>
  <c r="L36" i="1" s="1"/>
  <c r="G37" i="1" s="1"/>
  <c r="M36" i="1"/>
  <c r="H37" i="1" s="1"/>
  <c r="N36" i="1"/>
  <c r="I37" i="1" s="1"/>
  <c r="N37" i="1" l="1"/>
  <c r="J37" i="1"/>
  <c r="K37" i="1" s="1"/>
  <c r="I38" i="1"/>
  <c r="L37" i="1" l="1"/>
  <c r="G38" i="1" s="1"/>
  <c r="M37" i="1"/>
  <c r="H38" i="1" s="1"/>
  <c r="N38" i="1" l="1"/>
  <c r="I39" i="1" s="1"/>
  <c r="J38" i="1"/>
  <c r="K38" i="1" s="1"/>
  <c r="L38" i="1" l="1"/>
  <c r="G39" i="1" s="1"/>
  <c r="M38" i="1"/>
  <c r="H39" i="1" s="1"/>
  <c r="J39" i="1" l="1"/>
  <c r="K39" i="1" s="1"/>
  <c r="L39" i="1" s="1"/>
  <c r="G40" i="1" s="1"/>
  <c r="M39" i="1"/>
  <c r="H40" i="1" s="1"/>
  <c r="N39" i="1"/>
  <c r="I40" i="1" s="1"/>
  <c r="N40" i="1" l="1"/>
  <c r="J40" i="1"/>
  <c r="K40" i="1" s="1"/>
  <c r="I41" i="1"/>
  <c r="L40" i="1" l="1"/>
  <c r="G41" i="1" s="1"/>
  <c r="M40" i="1"/>
  <c r="H41" i="1" s="1"/>
  <c r="N41" i="1" l="1"/>
  <c r="I42" i="1" s="1"/>
  <c r="J41" i="1"/>
  <c r="K41" i="1" s="1"/>
  <c r="L41" i="1" s="1"/>
  <c r="G42" i="1" s="1"/>
  <c r="M41" i="1" l="1"/>
  <c r="H42" i="1" s="1"/>
  <c r="J42" i="1" l="1"/>
  <c r="K42" i="1" s="1"/>
  <c r="L42" i="1" s="1"/>
  <c r="G43" i="1" s="1"/>
  <c r="M42" i="1"/>
  <c r="H43" i="1" s="1"/>
  <c r="N42" i="1"/>
  <c r="I43" i="1" s="1"/>
  <c r="J43" i="1" l="1"/>
  <c r="K43" i="1" s="1"/>
  <c r="N43" i="1"/>
  <c r="I44" i="1" s="1"/>
  <c r="L43" i="1" l="1"/>
  <c r="G44" i="1" s="1"/>
  <c r="M43" i="1"/>
  <c r="H44" i="1" s="1"/>
  <c r="N44" i="1" l="1"/>
  <c r="I45" i="1" s="1"/>
  <c r="J44" i="1"/>
  <c r="K44" i="1" s="1"/>
  <c r="L44" i="1" s="1"/>
  <c r="G45" i="1" s="1"/>
  <c r="M44" i="1" l="1"/>
  <c r="H45" i="1" s="1"/>
  <c r="J45" i="1" l="1"/>
  <c r="K45" i="1" s="1"/>
  <c r="L45" i="1" s="1"/>
  <c r="G46" i="1" s="1"/>
  <c r="N45" i="1"/>
  <c r="I46" i="1" s="1"/>
  <c r="M45" i="1"/>
  <c r="H46" i="1" s="1"/>
  <c r="J46" i="1" l="1"/>
  <c r="K46" i="1" s="1"/>
  <c r="N46" i="1"/>
  <c r="I47" i="1" s="1"/>
  <c r="L46" i="1" l="1"/>
  <c r="G47" i="1" s="1"/>
  <c r="M46" i="1"/>
  <c r="H47" i="1" s="1"/>
  <c r="N47" i="1" l="1"/>
  <c r="I48" i="1" s="1"/>
  <c r="J47" i="1"/>
  <c r="K47" i="1" s="1"/>
  <c r="L47" i="1" s="1"/>
  <c r="G48" i="1" s="1"/>
  <c r="M47" i="1" l="1"/>
  <c r="H48" i="1" s="1"/>
  <c r="J48" i="1" l="1"/>
  <c r="K48" i="1" s="1"/>
  <c r="L48" i="1" s="1"/>
  <c r="G49" i="1" s="1"/>
  <c r="N48" i="1"/>
  <c r="I49" i="1" s="1"/>
  <c r="M48" i="1"/>
  <c r="H49" i="1" s="1"/>
  <c r="J49" i="1" l="1"/>
  <c r="K49" i="1" s="1"/>
  <c r="N49" i="1"/>
  <c r="I50" i="1" s="1"/>
  <c r="L49" i="1" l="1"/>
  <c r="G50" i="1" s="1"/>
  <c r="M49" i="1"/>
  <c r="H50" i="1" s="1"/>
  <c r="N50" i="1" l="1"/>
  <c r="I51" i="1" s="1"/>
  <c r="J50" i="1"/>
  <c r="K50" i="1" s="1"/>
  <c r="L50" i="1" s="1"/>
  <c r="G51" i="1" s="1"/>
  <c r="M50" i="1" l="1"/>
  <c r="H51" i="1" s="1"/>
  <c r="J51" i="1" l="1"/>
  <c r="K51" i="1" s="1"/>
  <c r="L51" i="1" s="1"/>
  <c r="G52" i="1" s="1"/>
  <c r="N51" i="1"/>
  <c r="I52" i="1" s="1"/>
  <c r="M51" i="1"/>
  <c r="H52" i="1" s="1"/>
  <c r="J52" i="1" l="1"/>
  <c r="K52" i="1" s="1"/>
  <c r="L52" i="1" s="1"/>
  <c r="G53" i="1" s="1"/>
  <c r="N52" i="1"/>
  <c r="I53" i="1" s="1"/>
  <c r="M52" i="1"/>
  <c r="H53" i="1" s="1"/>
  <c r="N53" i="1" l="1"/>
  <c r="I54" i="1" s="1"/>
  <c r="J53" i="1"/>
  <c r="K53" i="1" s="1"/>
  <c r="L53" i="1" s="1"/>
  <c r="G54" i="1" s="1"/>
  <c r="M53" i="1" l="1"/>
  <c r="H54" i="1" s="1"/>
  <c r="N54" i="1" l="1"/>
  <c r="I55" i="1" s="1"/>
  <c r="J54" i="1"/>
  <c r="K54" i="1" s="1"/>
  <c r="L54" i="1" s="1"/>
  <c r="G55" i="1" s="1"/>
  <c r="M54" i="1" l="1"/>
  <c r="H55" i="1" s="1"/>
  <c r="J55" i="1" l="1"/>
  <c r="K55" i="1" s="1"/>
  <c r="L55" i="1" s="1"/>
  <c r="G56" i="1" s="1"/>
  <c r="N55" i="1"/>
  <c r="I56" i="1" s="1"/>
  <c r="M55" i="1" l="1"/>
  <c r="H56" i="1" s="1"/>
  <c r="J56" i="1" s="1"/>
  <c r="K56" i="1" s="1"/>
  <c r="N56" i="1" l="1"/>
  <c r="I57" i="1" s="1"/>
  <c r="L56" i="1"/>
  <c r="G57" i="1" s="1"/>
  <c r="M56" i="1"/>
  <c r="H57" i="1" s="1"/>
  <c r="J57" i="1" l="1"/>
  <c r="K57" i="1" s="1"/>
  <c r="L57" i="1" s="1"/>
  <c r="G58" i="1" s="1"/>
  <c r="M57" i="1"/>
  <c r="H58" i="1" s="1"/>
  <c r="N57" i="1"/>
  <c r="I58" i="1" s="1"/>
  <c r="N58" i="1" l="1"/>
  <c r="J58" i="1"/>
  <c r="K58" i="1" s="1"/>
  <c r="I59" i="1"/>
  <c r="L58" i="1" l="1"/>
  <c r="G59" i="1" s="1"/>
  <c r="M58" i="1"/>
  <c r="H59" i="1" s="1"/>
  <c r="J59" i="1" l="1"/>
  <c r="K59" i="1" s="1"/>
  <c r="L59" i="1" s="1"/>
  <c r="G60" i="1" s="1"/>
  <c r="N59" i="1"/>
  <c r="I60" i="1" s="1"/>
  <c r="M59" i="1" l="1"/>
  <c r="H60" i="1" s="1"/>
  <c r="J60" i="1" s="1"/>
  <c r="K60" i="1" s="1"/>
  <c r="N60" i="1" l="1"/>
  <c r="I61" i="1" s="1"/>
  <c r="L60" i="1"/>
  <c r="G61" i="1" s="1"/>
  <c r="M60" i="1"/>
  <c r="H61" i="1" s="1"/>
  <c r="N61" i="1" l="1"/>
  <c r="I62" i="1" s="1"/>
  <c r="J61" i="1"/>
  <c r="K61" i="1" s="1"/>
  <c r="L61" i="1" s="1"/>
  <c r="G62" i="1" s="1"/>
  <c r="M61" i="1" l="1"/>
  <c r="H62" i="1" s="1"/>
  <c r="N62" i="1" l="1"/>
  <c r="I63" i="1" s="1"/>
  <c r="J62" i="1"/>
  <c r="K62" i="1" s="1"/>
  <c r="L62" i="1" l="1"/>
  <c r="G63" i="1" s="1"/>
  <c r="M62" i="1"/>
  <c r="H63" i="1" s="1"/>
  <c r="J63" i="1" l="1"/>
  <c r="K63" i="1" s="1"/>
  <c r="L63" i="1" s="1"/>
  <c r="G64" i="1" s="1"/>
  <c r="N63" i="1"/>
  <c r="I64" i="1" s="1"/>
  <c r="M63" i="1" l="1"/>
  <c r="H64" i="1" s="1"/>
  <c r="N64" i="1"/>
  <c r="I65" i="1" s="1"/>
  <c r="J64" i="1"/>
  <c r="K64" i="1" s="1"/>
  <c r="L64" i="1" s="1"/>
  <c r="G65" i="1" s="1"/>
  <c r="M64" i="1" l="1"/>
  <c r="H65" i="1" s="1"/>
  <c r="N65" i="1" s="1"/>
  <c r="I66" i="1" s="1"/>
  <c r="J65" i="1" l="1"/>
  <c r="K65" i="1" s="1"/>
  <c r="L65" i="1" s="1"/>
  <c r="G66" i="1" s="1"/>
  <c r="M65" i="1"/>
  <c r="H66" i="1" s="1"/>
  <c r="J66" i="1" l="1"/>
  <c r="K66" i="1" s="1"/>
  <c r="L66" i="1" s="1"/>
  <c r="G67" i="1" s="1"/>
  <c r="N66" i="1"/>
  <c r="I67" i="1" s="1"/>
  <c r="M66" i="1" l="1"/>
  <c r="H67" i="1" s="1"/>
  <c r="N67" i="1" l="1"/>
  <c r="I68" i="1" s="1"/>
  <c r="J67" i="1"/>
  <c r="K67" i="1" s="1"/>
  <c r="L67" i="1" s="1"/>
  <c r="G68" i="1" s="1"/>
  <c r="M67" i="1" l="1"/>
  <c r="H68" i="1" s="1"/>
  <c r="N68" i="1" l="1"/>
  <c r="I69" i="1" s="1"/>
  <c r="J68" i="1"/>
  <c r="K68" i="1" s="1"/>
  <c r="L68" i="1" s="1"/>
  <c r="G69" i="1" s="1"/>
  <c r="M68" i="1" l="1"/>
  <c r="H69" i="1" s="1"/>
  <c r="J69" i="1" l="1"/>
  <c r="K69" i="1" s="1"/>
  <c r="L69" i="1" s="1"/>
  <c r="G70" i="1" s="1"/>
  <c r="N69" i="1"/>
  <c r="I70" i="1" s="1"/>
  <c r="M69" i="1" l="1"/>
  <c r="H70" i="1" s="1"/>
  <c r="J70" i="1" l="1"/>
  <c r="K70" i="1" s="1"/>
  <c r="L70" i="1" s="1"/>
  <c r="G71" i="1" s="1"/>
  <c r="N70" i="1"/>
  <c r="I71" i="1" s="1"/>
  <c r="M70" i="1" l="1"/>
  <c r="H71" i="1" s="1"/>
  <c r="N71" i="1" s="1"/>
  <c r="I72" i="1" s="1"/>
  <c r="J71" i="1" l="1"/>
  <c r="K71" i="1" s="1"/>
  <c r="L71" i="1" s="1"/>
  <c r="G72" i="1" s="1"/>
  <c r="M71" i="1"/>
  <c r="H72" i="1" s="1"/>
  <c r="J72" i="1" l="1"/>
  <c r="K72" i="1" s="1"/>
  <c r="L72" i="1" s="1"/>
  <c r="G73" i="1" s="1"/>
  <c r="N72" i="1"/>
  <c r="I73" i="1" s="1"/>
  <c r="M72" i="1" l="1"/>
  <c r="H73" i="1" s="1"/>
  <c r="J73" i="1" s="1"/>
  <c r="K73" i="1" s="1"/>
  <c r="L73" i="1" s="1"/>
  <c r="G74" i="1" s="1"/>
  <c r="N73" i="1" l="1"/>
  <c r="I74" i="1" s="1"/>
  <c r="M73" i="1"/>
  <c r="H74" i="1" s="1"/>
  <c r="N74" i="1" l="1"/>
  <c r="I75" i="1" s="1"/>
  <c r="J74" i="1"/>
  <c r="K74" i="1" s="1"/>
  <c r="L74" i="1" s="1"/>
  <c r="G75" i="1" s="1"/>
  <c r="M74" i="1" l="1"/>
  <c r="H75" i="1" s="1"/>
  <c r="N75" i="1" l="1"/>
  <c r="I76" i="1" s="1"/>
  <c r="J75" i="1"/>
  <c r="K75" i="1" s="1"/>
  <c r="L75" i="1" s="1"/>
  <c r="G76" i="1" s="1"/>
  <c r="M75" i="1" l="1"/>
  <c r="H76" i="1" s="1"/>
  <c r="J76" i="1" l="1"/>
  <c r="K76" i="1" s="1"/>
  <c r="L76" i="1" s="1"/>
  <c r="G77" i="1" s="1"/>
  <c r="N76" i="1"/>
  <c r="I77" i="1" s="1"/>
  <c r="M76" i="1" l="1"/>
  <c r="H77" i="1" s="1"/>
  <c r="N77" i="1" l="1"/>
  <c r="I78" i="1" s="1"/>
  <c r="J77" i="1"/>
  <c r="K77" i="1" s="1"/>
  <c r="L77" i="1" s="1"/>
  <c r="G78" i="1" s="1"/>
  <c r="M77" i="1" l="1"/>
  <c r="H78" i="1" s="1"/>
  <c r="J78" i="1" l="1"/>
  <c r="K78" i="1" s="1"/>
  <c r="L78" i="1" s="1"/>
  <c r="G79" i="1" s="1"/>
  <c r="N78" i="1"/>
  <c r="I79" i="1" s="1"/>
  <c r="M78" i="1" l="1"/>
  <c r="H79" i="1" s="1"/>
  <c r="J79" i="1" l="1"/>
  <c r="K79" i="1" s="1"/>
  <c r="L79" i="1" s="1"/>
  <c r="G80" i="1" s="1"/>
  <c r="N79" i="1"/>
  <c r="I80" i="1" s="1"/>
  <c r="M79" i="1" l="1"/>
  <c r="H80" i="1" s="1"/>
  <c r="N80" i="1" l="1"/>
  <c r="I81" i="1" s="1"/>
  <c r="J80" i="1"/>
  <c r="K80" i="1" s="1"/>
  <c r="L80" i="1" s="1"/>
  <c r="G81" i="1" s="1"/>
  <c r="M80" i="1" l="1"/>
  <c r="H81" i="1" s="1"/>
  <c r="J81" i="1" l="1"/>
  <c r="K81" i="1" s="1"/>
  <c r="L81" i="1" s="1"/>
  <c r="G82" i="1" s="1"/>
  <c r="N81" i="1"/>
  <c r="I82" i="1" s="1"/>
  <c r="M81" i="1" l="1"/>
  <c r="H82" i="1" s="1"/>
  <c r="J82" i="1" s="1"/>
  <c r="K82" i="1" s="1"/>
  <c r="L82" i="1" s="1"/>
  <c r="G83" i="1" s="1"/>
  <c r="N82" i="1" l="1"/>
  <c r="I83" i="1" s="1"/>
  <c r="M82" i="1"/>
  <c r="H83" i="1" s="1"/>
  <c r="N83" i="1" s="1"/>
  <c r="I84" i="1" s="1"/>
  <c r="J83" i="1" l="1"/>
  <c r="K83" i="1" s="1"/>
  <c r="L83" i="1" s="1"/>
  <c r="G84" i="1" s="1"/>
  <c r="M83" i="1"/>
  <c r="H84" i="1" s="1"/>
  <c r="N84" i="1" l="1"/>
  <c r="I85" i="1" s="1"/>
  <c r="J84" i="1"/>
  <c r="K84" i="1" s="1"/>
  <c r="L84" i="1" s="1"/>
  <c r="G85" i="1" s="1"/>
  <c r="M84" i="1" l="1"/>
  <c r="H85" i="1" s="1"/>
  <c r="J85" i="1" l="1"/>
  <c r="K85" i="1" s="1"/>
  <c r="L85" i="1" s="1"/>
  <c r="G86" i="1" s="1"/>
  <c r="N85" i="1"/>
  <c r="I86" i="1" s="1"/>
  <c r="M85" i="1"/>
  <c r="H86" i="1" s="1"/>
  <c r="N86" i="1" l="1"/>
  <c r="J86" i="1"/>
  <c r="K86" i="1" s="1"/>
  <c r="L86" i="1" s="1"/>
  <c r="G87" i="1" s="1"/>
  <c r="I87" i="1"/>
  <c r="M86" i="1" l="1"/>
  <c r="H87" i="1" s="1"/>
  <c r="J87" i="1" l="1"/>
  <c r="K87" i="1" s="1"/>
  <c r="L87" i="1" s="1"/>
  <c r="G88" i="1" s="1"/>
  <c r="N87" i="1"/>
  <c r="I88" i="1" s="1"/>
  <c r="M87" i="1" l="1"/>
  <c r="H88" i="1" s="1"/>
  <c r="J88" i="1" l="1"/>
  <c r="K88" i="1" s="1"/>
  <c r="L88" i="1" s="1"/>
  <c r="G89" i="1" s="1"/>
  <c r="M88" i="1"/>
  <c r="H89" i="1" s="1"/>
  <c r="N88" i="1"/>
  <c r="I89" i="1" s="1"/>
  <c r="N89" i="1" l="1"/>
  <c r="I90" i="1" s="1"/>
  <c r="J89" i="1"/>
  <c r="K89" i="1" s="1"/>
  <c r="L89" i="1" s="1"/>
  <c r="G90" i="1" s="1"/>
  <c r="M89" i="1" l="1"/>
  <c r="H90" i="1" s="1"/>
  <c r="J90" i="1" l="1"/>
  <c r="K90" i="1" s="1"/>
  <c r="L90" i="1" s="1"/>
  <c r="G91" i="1" s="1"/>
  <c r="M90" i="1"/>
  <c r="H91" i="1" s="1"/>
  <c r="N90" i="1"/>
  <c r="I91" i="1" s="1"/>
  <c r="J91" i="1" l="1"/>
  <c r="K91" i="1" s="1"/>
  <c r="L91" i="1" s="1"/>
  <c r="G92" i="1" s="1"/>
  <c r="N91" i="1"/>
  <c r="I92" i="1" s="1"/>
  <c r="M91" i="1" l="1"/>
  <c r="H92" i="1" s="1"/>
  <c r="N92" i="1" s="1"/>
  <c r="I93" i="1" s="1"/>
  <c r="J92" i="1" l="1"/>
  <c r="K92" i="1" s="1"/>
  <c r="L92" i="1" s="1"/>
  <c r="G93" i="1" s="1"/>
  <c r="M92" i="1" l="1"/>
  <c r="H93" i="1" s="1"/>
  <c r="N93" i="1" s="1"/>
  <c r="I94" i="1" s="1"/>
  <c r="J93" i="1" l="1"/>
  <c r="K93" i="1" s="1"/>
  <c r="L93" i="1" s="1"/>
  <c r="G94" i="1" s="1"/>
  <c r="M93" i="1"/>
  <c r="H94" i="1" s="1"/>
  <c r="J94" i="1" l="1"/>
  <c r="K94" i="1" s="1"/>
  <c r="L94" i="1" s="1"/>
  <c r="G95" i="1" s="1"/>
  <c r="N94" i="1"/>
  <c r="I95" i="1" s="1"/>
  <c r="M94" i="1" l="1"/>
  <c r="H95" i="1" s="1"/>
  <c r="N95" i="1" s="1"/>
  <c r="I96" i="1" s="1"/>
  <c r="J95" i="1" l="1"/>
  <c r="K95" i="1" s="1"/>
  <c r="L95" i="1" s="1"/>
  <c r="G96" i="1" s="1"/>
  <c r="M95" i="1" l="1"/>
  <c r="H96" i="1" s="1"/>
  <c r="J96" i="1" s="1"/>
  <c r="K96" i="1" s="1"/>
  <c r="L96" i="1" s="1"/>
  <c r="G97" i="1" s="1"/>
  <c r="N96" i="1" l="1"/>
  <c r="I97" i="1" s="1"/>
  <c r="M96" i="1"/>
  <c r="H97" i="1" s="1"/>
  <c r="J97" i="1" l="1"/>
  <c r="K97" i="1" s="1"/>
  <c r="L97" i="1" s="1"/>
  <c r="G98" i="1" s="1"/>
  <c r="N97" i="1"/>
  <c r="I98" i="1" s="1"/>
  <c r="M97" i="1" l="1"/>
  <c r="H98" i="1" s="1"/>
  <c r="N98" i="1" s="1"/>
  <c r="I99" i="1" s="1"/>
  <c r="J98" i="1" l="1"/>
  <c r="K98" i="1" s="1"/>
  <c r="L98" i="1" s="1"/>
  <c r="G99" i="1" s="1"/>
  <c r="M98" i="1" l="1"/>
  <c r="H99" i="1" s="1"/>
  <c r="J99" i="1" s="1"/>
  <c r="K99" i="1" s="1"/>
  <c r="L99" i="1" s="1"/>
  <c r="G100" i="1" s="1"/>
  <c r="N99" i="1" l="1"/>
  <c r="I100" i="1" s="1"/>
  <c r="M99" i="1"/>
  <c r="H100" i="1" s="1"/>
  <c r="J100" i="1" s="1"/>
  <c r="K100" i="1" s="1"/>
  <c r="L100" i="1" s="1"/>
  <c r="G101" i="1" s="1"/>
  <c r="N100" i="1" l="1"/>
  <c r="I101" i="1" s="1"/>
  <c r="M100" i="1"/>
  <c r="H101" i="1" s="1"/>
  <c r="N101" i="1" l="1"/>
  <c r="I102" i="1" s="1"/>
  <c r="J101" i="1"/>
  <c r="K101" i="1" s="1"/>
  <c r="L101" i="1" s="1"/>
  <c r="G102" i="1" s="1"/>
  <c r="M101" i="1" l="1"/>
  <c r="H102" i="1" s="1"/>
  <c r="N102" i="1" s="1"/>
  <c r="I103" i="1" s="1"/>
  <c r="J102" i="1" l="1"/>
  <c r="K102" i="1" s="1"/>
  <c r="L102" i="1" s="1"/>
  <c r="G103" i="1" s="1"/>
  <c r="M102" i="1"/>
  <c r="H103" i="1" s="1"/>
  <c r="J103" i="1" l="1"/>
  <c r="K103" i="1" s="1"/>
  <c r="L103" i="1" s="1"/>
  <c r="G104" i="1" s="1"/>
  <c r="N103" i="1"/>
  <c r="I104" i="1" s="1"/>
  <c r="M103" i="1" l="1"/>
  <c r="H104" i="1" s="1"/>
  <c r="N104" i="1" s="1"/>
  <c r="I105" i="1" s="1"/>
  <c r="J104" i="1" l="1"/>
  <c r="K104" i="1" s="1"/>
  <c r="L104" i="1" s="1"/>
  <c r="G105" i="1" s="1"/>
  <c r="M104" i="1" l="1"/>
  <c r="H105" i="1" s="1"/>
  <c r="J105" i="1" s="1"/>
  <c r="K105" i="1" s="1"/>
  <c r="L105" i="1" s="1"/>
  <c r="G106" i="1" s="1"/>
  <c r="N105" i="1" l="1"/>
  <c r="I106" i="1" s="1"/>
  <c r="M105" i="1"/>
  <c r="H106" i="1" s="1"/>
  <c r="J106" i="1" l="1"/>
  <c r="K106" i="1" s="1"/>
  <c r="L106" i="1" s="1"/>
  <c r="G107" i="1" s="1"/>
  <c r="N106" i="1"/>
  <c r="I107" i="1" s="1"/>
  <c r="M106" i="1" l="1"/>
  <c r="H107" i="1" s="1"/>
  <c r="N107" i="1" s="1"/>
  <c r="I108" i="1" s="1"/>
  <c r="J107" i="1" l="1"/>
  <c r="K107" i="1" s="1"/>
  <c r="L107" i="1" s="1"/>
  <c r="G108" i="1" s="1"/>
  <c r="M107" i="1" l="1"/>
  <c r="H108" i="1" s="1"/>
  <c r="J108" i="1" s="1"/>
  <c r="K108" i="1" s="1"/>
  <c r="L108" i="1" s="1"/>
  <c r="G109" i="1" s="1"/>
  <c r="N108" i="1" l="1"/>
  <c r="I109" i="1" s="1"/>
  <c r="M108" i="1"/>
  <c r="H109" i="1" s="1"/>
  <c r="J109" i="1" s="1"/>
  <c r="K109" i="1" s="1"/>
  <c r="L109" i="1" s="1"/>
  <c r="G110" i="1" s="1"/>
  <c r="N109" i="1" l="1"/>
  <c r="I110" i="1" s="1"/>
  <c r="M109" i="1"/>
  <c r="H110" i="1" s="1"/>
  <c r="N110" i="1" s="1"/>
  <c r="I111" i="1" s="1"/>
  <c r="J110" i="1" l="1"/>
  <c r="K110" i="1" s="1"/>
  <c r="L110" i="1" s="1"/>
  <c r="G111" i="1" s="1"/>
  <c r="M110" i="1" l="1"/>
  <c r="H111" i="1" s="1"/>
  <c r="N111" i="1"/>
  <c r="I112" i="1" s="1"/>
  <c r="J111" i="1"/>
  <c r="K111" i="1" s="1"/>
  <c r="L111" i="1" s="1"/>
  <c r="G112" i="1" s="1"/>
  <c r="M111" i="1" l="1"/>
  <c r="H112" i="1" s="1"/>
  <c r="J112" i="1" l="1"/>
  <c r="K112" i="1" s="1"/>
  <c r="L112" i="1" s="1"/>
  <c r="G113" i="1" s="1"/>
  <c r="N112" i="1"/>
  <c r="I113" i="1" s="1"/>
  <c r="M112" i="1"/>
  <c r="H113" i="1" s="1"/>
  <c r="N113" i="1" l="1"/>
  <c r="I114" i="1" s="1"/>
  <c r="J113" i="1"/>
  <c r="K113" i="1" s="1"/>
  <c r="L113" i="1" s="1"/>
  <c r="G114" i="1" s="1"/>
  <c r="M113" i="1" l="1"/>
  <c r="H114" i="1" s="1"/>
  <c r="J114" i="1" l="1"/>
  <c r="K114" i="1" s="1"/>
  <c r="L114" i="1" s="1"/>
  <c r="G115" i="1" s="1"/>
  <c r="N114" i="1"/>
  <c r="I115" i="1" s="1"/>
  <c r="M114" i="1" l="1"/>
  <c r="H115" i="1" s="1"/>
  <c r="J115" i="1" l="1"/>
  <c r="K115" i="1" s="1"/>
  <c r="L115" i="1" s="1"/>
  <c r="G116" i="1" s="1"/>
  <c r="N115" i="1"/>
  <c r="I116" i="1" s="1"/>
  <c r="M115" i="1" l="1"/>
  <c r="H116" i="1" s="1"/>
  <c r="N116" i="1" l="1"/>
  <c r="I117" i="1" s="1"/>
  <c r="J116" i="1"/>
  <c r="K116" i="1" s="1"/>
  <c r="L116" i="1" s="1"/>
  <c r="G117" i="1" s="1"/>
  <c r="M116" i="1" l="1"/>
  <c r="H117" i="1" s="1"/>
  <c r="J117" i="1" l="1"/>
  <c r="K117" i="1" s="1"/>
  <c r="L117" i="1" s="1"/>
  <c r="G118" i="1" s="1"/>
  <c r="N117" i="1"/>
  <c r="I118" i="1" s="1"/>
  <c r="M117" i="1" l="1"/>
  <c r="H118" i="1" s="1"/>
  <c r="J118" i="1" s="1"/>
  <c r="K118" i="1" s="1"/>
  <c r="L118" i="1" s="1"/>
  <c r="G119" i="1" s="1"/>
  <c r="N118" i="1" l="1"/>
  <c r="I119" i="1" s="1"/>
  <c r="M118" i="1"/>
  <c r="H119" i="1" s="1"/>
  <c r="J119" i="1" s="1"/>
  <c r="K119" i="1" s="1"/>
  <c r="L119" i="1" s="1"/>
  <c r="G120" i="1" s="1"/>
  <c r="N119" i="1" l="1"/>
  <c r="I120" i="1" s="1"/>
  <c r="M119" i="1"/>
  <c r="H120" i="1" s="1"/>
  <c r="N120" i="1" l="1"/>
  <c r="I121" i="1" s="1"/>
  <c r="J120" i="1"/>
  <c r="K120" i="1" s="1"/>
  <c r="L120" i="1" s="1"/>
  <c r="G121" i="1" s="1"/>
  <c r="M120" i="1" l="1"/>
  <c r="H121" i="1" s="1"/>
  <c r="N121" i="1" l="1"/>
  <c r="I122" i="1" s="1"/>
  <c r="J121" i="1"/>
  <c r="K121" i="1" s="1"/>
  <c r="L121" i="1" s="1"/>
  <c r="G122" i="1" s="1"/>
  <c r="M121" i="1" l="1"/>
  <c r="H122" i="1" s="1"/>
  <c r="J122" i="1" l="1"/>
  <c r="K122" i="1" s="1"/>
  <c r="L122" i="1" s="1"/>
  <c r="G123" i="1" s="1"/>
  <c r="N122" i="1"/>
  <c r="I123" i="1" s="1"/>
  <c r="M122" i="1" l="1"/>
  <c r="H123" i="1" s="1"/>
  <c r="N123" i="1" s="1"/>
  <c r="I124" i="1" s="1"/>
  <c r="J123" i="1" l="1"/>
  <c r="K123" i="1" s="1"/>
  <c r="L123" i="1" l="1"/>
  <c r="G124" i="1" s="1"/>
  <c r="M123" i="1"/>
  <c r="H124" i="1" s="1"/>
  <c r="J124" i="1" l="1"/>
  <c r="K124" i="1" s="1"/>
  <c r="L124" i="1" s="1"/>
  <c r="N124" i="1"/>
  <c r="I125" i="1" s="1"/>
  <c r="M124" i="1"/>
  <c r="H125" i="1" s="1"/>
  <c r="J125" i="1" s="1"/>
  <c r="G125" i="1"/>
  <c r="K125" i="1" l="1"/>
  <c r="L125" i="1" s="1"/>
  <c r="G126" i="1" s="1"/>
  <c r="N125" i="1"/>
  <c r="I126" i="1" s="1"/>
  <c r="M125" i="1"/>
  <c r="H126" i="1" s="1"/>
  <c r="N126" i="1" l="1"/>
  <c r="I127" i="1" s="1"/>
  <c r="J126" i="1"/>
  <c r="K126" i="1" s="1"/>
  <c r="L126" i="1" s="1"/>
  <c r="G127" i="1" s="1"/>
  <c r="M126" i="1" l="1"/>
  <c r="H127" i="1" s="1"/>
  <c r="J127" i="1" l="1"/>
  <c r="K127" i="1" s="1"/>
  <c r="N127" i="1"/>
  <c r="I128" i="1" s="1"/>
  <c r="L127" i="1" l="1"/>
  <c r="G128" i="1" s="1"/>
  <c r="M127" i="1"/>
  <c r="H128" i="1" s="1"/>
  <c r="J128" i="1" l="1"/>
  <c r="K128" i="1" s="1"/>
  <c r="L128" i="1" s="1"/>
  <c r="G129" i="1" s="1"/>
  <c r="N128" i="1"/>
  <c r="I129" i="1" s="1"/>
  <c r="M128" i="1"/>
  <c r="H129" i="1" s="1"/>
  <c r="N129" i="1" l="1"/>
  <c r="I130" i="1" s="1"/>
  <c r="J129" i="1"/>
  <c r="K129" i="1" s="1"/>
  <c r="L129" i="1" s="1"/>
  <c r="G130" i="1" s="1"/>
  <c r="M129" i="1" l="1"/>
  <c r="H130" i="1" s="1"/>
  <c r="J130" i="1" s="1"/>
  <c r="K130" i="1" s="1"/>
  <c r="L130" i="1" s="1"/>
  <c r="G131" i="1" s="1"/>
  <c r="N130" i="1" l="1"/>
  <c r="I131" i="1" s="1"/>
  <c r="M130" i="1"/>
  <c r="H131" i="1" s="1"/>
  <c r="J131" i="1" l="1"/>
  <c r="K131" i="1" s="1"/>
  <c r="L131" i="1" s="1"/>
  <c r="G132" i="1" s="1"/>
  <c r="N131" i="1"/>
  <c r="I132" i="1" s="1"/>
  <c r="M131" i="1" l="1"/>
  <c r="H132" i="1" s="1"/>
  <c r="N132" i="1" s="1"/>
  <c r="I133" i="1" s="1"/>
  <c r="J132" i="1" l="1"/>
  <c r="K132" i="1" s="1"/>
  <c r="L132" i="1" s="1"/>
  <c r="G133" i="1" s="1"/>
  <c r="M132" i="1"/>
  <c r="H133" i="1" s="1"/>
  <c r="N133" i="1" l="1"/>
  <c r="I134" i="1" s="1"/>
  <c r="J133" i="1"/>
  <c r="K133" i="1" s="1"/>
  <c r="L133" i="1" s="1"/>
  <c r="G134" i="1" s="1"/>
  <c r="M133" i="1" l="1"/>
  <c r="H134" i="1" s="1"/>
  <c r="J134" i="1" l="1"/>
  <c r="K134" i="1" s="1"/>
  <c r="L134" i="1" s="1"/>
  <c r="G135" i="1" s="1"/>
  <c r="N134" i="1"/>
  <c r="I135" i="1" s="1"/>
  <c r="M134" i="1" l="1"/>
  <c r="H135" i="1" s="1"/>
  <c r="J135" i="1" l="1"/>
  <c r="K135" i="1" s="1"/>
  <c r="L135" i="1" s="1"/>
  <c r="G136" i="1" s="1"/>
  <c r="M135" i="1"/>
  <c r="H136" i="1" s="1"/>
  <c r="N135" i="1"/>
  <c r="I136" i="1" s="1"/>
  <c r="J136" i="1" l="1"/>
  <c r="K136" i="1" s="1"/>
  <c r="L136" i="1" s="1"/>
  <c r="G137" i="1" s="1"/>
  <c r="N136" i="1"/>
  <c r="I137" i="1" s="1"/>
  <c r="M136" i="1" l="1"/>
  <c r="H137" i="1" s="1"/>
  <c r="J137" i="1" l="1"/>
  <c r="K137" i="1" s="1"/>
  <c r="L137" i="1" s="1"/>
  <c r="G138" i="1" s="1"/>
  <c r="N137" i="1"/>
  <c r="I138" i="1" s="1"/>
  <c r="M137" i="1" l="1"/>
  <c r="H138" i="1" s="1"/>
  <c r="J138" i="1" s="1"/>
  <c r="K138" i="1" s="1"/>
  <c r="L138" i="1" s="1"/>
  <c r="G139" i="1" s="1"/>
  <c r="N138" i="1" l="1"/>
  <c r="I139" i="1" s="1"/>
  <c r="M138" i="1"/>
  <c r="H139" i="1" s="1"/>
  <c r="N139" i="1" s="1"/>
  <c r="I140" i="1" s="1"/>
  <c r="J139" i="1" l="1"/>
  <c r="K139" i="1" s="1"/>
  <c r="L139" i="1" s="1"/>
  <c r="G140" i="1" s="1"/>
  <c r="M139" i="1" l="1"/>
  <c r="H140" i="1" s="1"/>
  <c r="N140" i="1" s="1"/>
  <c r="I141" i="1" s="1"/>
  <c r="J140" i="1" l="1"/>
  <c r="K140" i="1" s="1"/>
  <c r="L140" i="1" s="1"/>
  <c r="G141" i="1" s="1"/>
  <c r="M140" i="1"/>
  <c r="H141" i="1" s="1"/>
  <c r="N141" i="1" l="1"/>
  <c r="I142" i="1" s="1"/>
  <c r="J141" i="1"/>
  <c r="K141" i="1" s="1"/>
  <c r="L141" i="1" s="1"/>
  <c r="G142" i="1" s="1"/>
  <c r="M141" i="1" l="1"/>
  <c r="H142" i="1" s="1"/>
  <c r="J142" i="1" l="1"/>
  <c r="K142" i="1" s="1"/>
  <c r="L142" i="1" s="1"/>
  <c r="G143" i="1" s="1"/>
  <c r="N142" i="1"/>
  <c r="I143" i="1" s="1"/>
  <c r="M142" i="1" l="1"/>
  <c r="H143" i="1" s="1"/>
  <c r="J143" i="1" l="1"/>
  <c r="K143" i="1" s="1"/>
  <c r="L143" i="1" s="1"/>
  <c r="G144" i="1" s="1"/>
  <c r="N143" i="1"/>
  <c r="I144" i="1" s="1"/>
  <c r="M143" i="1"/>
  <c r="H144" i="1" s="1"/>
  <c r="N144" i="1" l="1"/>
  <c r="I145" i="1" s="1"/>
  <c r="J144" i="1"/>
  <c r="K144" i="1" s="1"/>
  <c r="L144" i="1" s="1"/>
  <c r="G145" i="1" s="1"/>
  <c r="M144" i="1" l="1"/>
  <c r="H145" i="1" s="1"/>
  <c r="J145" i="1" l="1"/>
  <c r="K145" i="1" s="1"/>
  <c r="L145" i="1" s="1"/>
  <c r="G146" i="1" s="1"/>
  <c r="N145" i="1"/>
  <c r="I146" i="1" s="1"/>
  <c r="M145" i="1" l="1"/>
  <c r="H146" i="1" s="1"/>
  <c r="J146" i="1" l="1"/>
  <c r="K146" i="1" s="1"/>
  <c r="L146" i="1" s="1"/>
  <c r="G147" i="1" s="1"/>
  <c r="N146" i="1"/>
  <c r="I147" i="1" s="1"/>
  <c r="M146" i="1"/>
  <c r="H147" i="1" s="1"/>
  <c r="N147" i="1" l="1"/>
  <c r="I148" i="1" s="1"/>
  <c r="J147" i="1"/>
  <c r="K147" i="1" s="1"/>
  <c r="L147" i="1" s="1"/>
  <c r="G148" i="1" s="1"/>
  <c r="M147" i="1" l="1"/>
  <c r="H148" i="1" s="1"/>
  <c r="J148" i="1" l="1"/>
  <c r="K148" i="1" s="1"/>
  <c r="L148" i="1" s="1"/>
  <c r="G149" i="1" s="1"/>
  <c r="N148" i="1"/>
  <c r="I149" i="1" s="1"/>
  <c r="M148" i="1" l="1"/>
  <c r="H149" i="1" s="1"/>
  <c r="J149" i="1" l="1"/>
  <c r="K149" i="1" s="1"/>
  <c r="L149" i="1" s="1"/>
  <c r="G150" i="1" s="1"/>
  <c r="N149" i="1"/>
  <c r="I150" i="1" s="1"/>
  <c r="M149" i="1" l="1"/>
  <c r="H150" i="1" s="1"/>
  <c r="N150" i="1" s="1"/>
  <c r="I151" i="1" s="1"/>
  <c r="J150" i="1" l="1"/>
  <c r="K150" i="1" s="1"/>
  <c r="L150" i="1" s="1"/>
  <c r="G151" i="1" s="1"/>
  <c r="M150" i="1" l="1"/>
  <c r="H151" i="1" s="1"/>
  <c r="J151" i="1" s="1"/>
  <c r="K151" i="1" s="1"/>
  <c r="L151" i="1" s="1"/>
  <c r="G152" i="1" s="1"/>
  <c r="N151" i="1" l="1"/>
  <c r="I152" i="1" s="1"/>
  <c r="M151" i="1"/>
  <c r="H152" i="1" s="1"/>
  <c r="J152" i="1" l="1"/>
  <c r="K152" i="1" s="1"/>
  <c r="L152" i="1" s="1"/>
  <c r="G153" i="1" s="1"/>
  <c r="N152" i="1"/>
  <c r="I153" i="1" s="1"/>
  <c r="M152" i="1" l="1"/>
  <c r="H153" i="1" s="1"/>
  <c r="N153" i="1" s="1"/>
  <c r="I154" i="1" s="1"/>
  <c r="J153" i="1" l="1"/>
  <c r="K153" i="1" s="1"/>
  <c r="L153" i="1" s="1"/>
  <c r="G154" i="1" s="1"/>
  <c r="M153" i="1" l="1"/>
  <c r="H154" i="1" s="1"/>
  <c r="N154" i="1" s="1"/>
  <c r="I155" i="1" s="1"/>
  <c r="J154" i="1" l="1"/>
  <c r="K154" i="1" s="1"/>
  <c r="L154" i="1" s="1"/>
  <c r="G155" i="1" s="1"/>
  <c r="M154" i="1" l="1"/>
  <c r="H155" i="1" s="1"/>
  <c r="J155" i="1" s="1"/>
  <c r="K155" i="1" s="1"/>
  <c r="L155" i="1" s="1"/>
  <c r="G156" i="1" s="1"/>
  <c r="N155" i="1" l="1"/>
  <c r="I156" i="1" s="1"/>
  <c r="M155" i="1"/>
  <c r="H156" i="1" s="1"/>
  <c r="J156" i="1" s="1"/>
  <c r="K156" i="1" s="1"/>
  <c r="L156" i="1" s="1"/>
  <c r="G157" i="1" s="1"/>
  <c r="N156" i="1" l="1"/>
  <c r="I157" i="1" s="1"/>
  <c r="M156" i="1"/>
  <c r="H157" i="1" s="1"/>
  <c r="J157" i="1" l="1"/>
  <c r="K157" i="1" s="1"/>
  <c r="L157" i="1" s="1"/>
  <c r="G158" i="1" s="1"/>
  <c r="N157" i="1"/>
  <c r="I158" i="1" s="1"/>
  <c r="M157" i="1" l="1"/>
  <c r="H158" i="1" s="1"/>
  <c r="J158" i="1" l="1"/>
  <c r="K158" i="1" s="1"/>
  <c r="L158" i="1" s="1"/>
  <c r="G159" i="1" s="1"/>
  <c r="N158" i="1"/>
  <c r="I159" i="1" s="1"/>
  <c r="M158" i="1" l="1"/>
  <c r="H159" i="1" s="1"/>
  <c r="N159" i="1" s="1"/>
  <c r="I160" i="1" s="1"/>
  <c r="J159" i="1" l="1"/>
  <c r="K159" i="1" s="1"/>
  <c r="L159" i="1" s="1"/>
  <c r="G160" i="1" s="1"/>
  <c r="M159" i="1" l="1"/>
  <c r="H160" i="1" s="1"/>
  <c r="J160" i="1" s="1"/>
  <c r="K160" i="1" s="1"/>
  <c r="L160" i="1" s="1"/>
  <c r="G161" i="1" s="1"/>
  <c r="N160" i="1"/>
  <c r="I161" i="1" s="1"/>
  <c r="M160" i="1" l="1"/>
  <c r="H161" i="1" s="1"/>
  <c r="J161" i="1" l="1"/>
  <c r="K161" i="1" s="1"/>
  <c r="L161" i="1" s="1"/>
  <c r="G162" i="1" s="1"/>
  <c r="N161" i="1"/>
  <c r="I162" i="1" s="1"/>
  <c r="M161" i="1" l="1"/>
  <c r="H162" i="1" s="1"/>
  <c r="N162" i="1" s="1"/>
  <c r="I163" i="1" s="1"/>
  <c r="J162" i="1" l="1"/>
  <c r="K162" i="1" s="1"/>
  <c r="L162" i="1" s="1"/>
  <c r="G163" i="1" s="1"/>
  <c r="M162" i="1" l="1"/>
  <c r="H163" i="1" s="1"/>
  <c r="J163" i="1"/>
  <c r="K163" i="1" s="1"/>
  <c r="L163" i="1" s="1"/>
  <c r="G164" i="1" s="1"/>
  <c r="N163" i="1"/>
  <c r="I164" i="1" s="1"/>
  <c r="M163" i="1" l="1"/>
  <c r="H164" i="1" s="1"/>
  <c r="J164" i="1" l="1"/>
  <c r="K164" i="1" s="1"/>
  <c r="L164" i="1" s="1"/>
  <c r="G165" i="1" s="1"/>
  <c r="M164" i="1"/>
  <c r="H165" i="1" s="1"/>
  <c r="N164" i="1"/>
  <c r="I165" i="1" s="1"/>
  <c r="N165" i="1" l="1"/>
  <c r="J165" i="1"/>
  <c r="K165" i="1" s="1"/>
  <c r="L165" i="1" s="1"/>
  <c r="G166" i="1" s="1"/>
  <c r="I166" i="1"/>
  <c r="M165" i="1" l="1"/>
  <c r="H166" i="1" s="1"/>
  <c r="J166" i="1" l="1"/>
  <c r="K166" i="1" s="1"/>
  <c r="L166" i="1" s="1"/>
  <c r="G167" i="1" s="1"/>
  <c r="N166" i="1"/>
  <c r="I167" i="1" s="1"/>
  <c r="M166" i="1" l="1"/>
  <c r="H167" i="1" s="1"/>
  <c r="J167" i="1" l="1"/>
  <c r="K167" i="1" s="1"/>
  <c r="L167" i="1" s="1"/>
  <c r="G168" i="1" s="1"/>
  <c r="N167" i="1"/>
  <c r="I168" i="1" s="1"/>
  <c r="M167" i="1" l="1"/>
  <c r="H168" i="1" s="1"/>
  <c r="N168" i="1" s="1"/>
  <c r="I169" i="1" s="1"/>
  <c r="J168" i="1" l="1"/>
  <c r="K168" i="1" s="1"/>
  <c r="L168" i="1" s="1"/>
  <c r="G169" i="1" s="1"/>
  <c r="M168" i="1" l="1"/>
  <c r="H169" i="1" s="1"/>
  <c r="N169" i="1" s="1"/>
  <c r="I170" i="1" s="1"/>
  <c r="J169" i="1" l="1"/>
  <c r="K169" i="1" s="1"/>
  <c r="L169" i="1" s="1"/>
  <c r="G170" i="1" s="1"/>
  <c r="M169" i="1" l="1"/>
  <c r="H170" i="1" s="1"/>
  <c r="J170" i="1" s="1"/>
  <c r="K170" i="1" s="1"/>
  <c r="L170" i="1" s="1"/>
  <c r="G171" i="1" s="1"/>
  <c r="N170" i="1" l="1"/>
  <c r="I171" i="1" s="1"/>
  <c r="M170" i="1"/>
  <c r="H171" i="1" s="1"/>
  <c r="N171" i="1" s="1"/>
  <c r="I172" i="1" s="1"/>
  <c r="J171" i="1" l="1"/>
  <c r="K171" i="1" s="1"/>
  <c r="L171" i="1" s="1"/>
  <c r="G172" i="1" s="1"/>
  <c r="M171" i="1" l="1"/>
  <c r="H172" i="1" s="1"/>
  <c r="J172" i="1" s="1"/>
  <c r="K172" i="1" s="1"/>
  <c r="L172" i="1" s="1"/>
  <c r="G173" i="1" s="1"/>
  <c r="N172" i="1" l="1"/>
  <c r="I173" i="1" s="1"/>
  <c r="M172" i="1"/>
  <c r="H173" i="1" s="1"/>
  <c r="J173" i="1" s="1"/>
  <c r="K173" i="1" s="1"/>
  <c r="L173" i="1" s="1"/>
  <c r="G174" i="1" s="1"/>
  <c r="N173" i="1" l="1"/>
  <c r="I174" i="1" s="1"/>
  <c r="M173" i="1"/>
  <c r="H174" i="1" s="1"/>
  <c r="N174" i="1" s="1"/>
  <c r="I175" i="1" s="1"/>
  <c r="J174" i="1" l="1"/>
  <c r="K174" i="1" s="1"/>
  <c r="L174" i="1" s="1"/>
  <c r="G175" i="1" s="1"/>
  <c r="M174" i="1" l="1"/>
  <c r="H175" i="1" s="1"/>
  <c r="J175" i="1" s="1"/>
  <c r="K175" i="1" s="1"/>
  <c r="L175" i="1" s="1"/>
  <c r="G176" i="1" s="1"/>
  <c r="N175" i="1" l="1"/>
  <c r="I176" i="1" s="1"/>
  <c r="M175" i="1"/>
  <c r="H176" i="1" s="1"/>
  <c r="J176" i="1" l="1"/>
  <c r="K176" i="1" s="1"/>
  <c r="L176" i="1" s="1"/>
  <c r="G177" i="1" s="1"/>
  <c r="N176" i="1"/>
  <c r="I177" i="1" s="1"/>
  <c r="M176" i="1" l="1"/>
  <c r="H177" i="1" s="1"/>
  <c r="N177" i="1" s="1"/>
  <c r="I178" i="1" s="1"/>
  <c r="J177" i="1" l="1"/>
  <c r="K177" i="1" s="1"/>
  <c r="L177" i="1" s="1"/>
  <c r="G178" i="1" s="1"/>
  <c r="M177" i="1" l="1"/>
  <c r="H178" i="1" s="1"/>
  <c r="J178" i="1" s="1"/>
  <c r="K178" i="1" s="1"/>
  <c r="L178" i="1" s="1"/>
  <c r="G179" i="1" s="1"/>
  <c r="N178" i="1" l="1"/>
  <c r="I179" i="1" s="1"/>
  <c r="M178" i="1"/>
  <c r="H179" i="1" s="1"/>
  <c r="J179" i="1" s="1"/>
  <c r="K179" i="1" s="1"/>
  <c r="L179" i="1" s="1"/>
  <c r="G180" i="1" s="1"/>
  <c r="N179" i="1" l="1"/>
  <c r="I180" i="1" s="1"/>
  <c r="M179" i="1"/>
  <c r="H180" i="1" s="1"/>
  <c r="J180" i="1" s="1"/>
  <c r="K180" i="1" s="1"/>
  <c r="L180" i="1" s="1"/>
  <c r="G181" i="1" s="1"/>
  <c r="N180" i="1" l="1"/>
  <c r="I181" i="1" s="1"/>
  <c r="M180" i="1"/>
  <c r="H181" i="1" s="1"/>
  <c r="N181" i="1" l="1"/>
  <c r="I182" i="1" s="1"/>
  <c r="J181" i="1"/>
  <c r="K181" i="1" s="1"/>
  <c r="L181" i="1" s="1"/>
  <c r="G182" i="1" s="1"/>
  <c r="M181" i="1" l="1"/>
  <c r="H182" i="1" s="1"/>
  <c r="J182" i="1" s="1"/>
  <c r="K182" i="1" s="1"/>
  <c r="L182" i="1" s="1"/>
  <c r="G183" i="1" s="1"/>
  <c r="N182" i="1" l="1"/>
  <c r="I183" i="1" s="1"/>
  <c r="M182" i="1"/>
  <c r="H183" i="1" s="1"/>
  <c r="J183" i="1" s="1"/>
  <c r="K183" i="1" s="1"/>
  <c r="L183" i="1" s="1"/>
  <c r="G184" i="1" s="1"/>
  <c r="N183" i="1" l="1"/>
  <c r="I184" i="1" s="1"/>
  <c r="M183" i="1"/>
  <c r="H184" i="1" s="1"/>
  <c r="J184" i="1" l="1"/>
  <c r="K184" i="1" s="1"/>
  <c r="L184" i="1" s="1"/>
  <c r="G185" i="1" s="1"/>
  <c r="N184" i="1"/>
  <c r="I185" i="1" s="1"/>
  <c r="M184" i="1" l="1"/>
  <c r="H185" i="1" s="1"/>
  <c r="J185" i="1" l="1"/>
  <c r="K185" i="1" s="1"/>
  <c r="L185" i="1" s="1"/>
  <c r="G186" i="1" s="1"/>
  <c r="N185" i="1"/>
  <c r="I186" i="1" s="1"/>
  <c r="M185" i="1" l="1"/>
  <c r="H186" i="1" s="1"/>
  <c r="N186" i="1" s="1"/>
  <c r="I187" i="1" s="1"/>
  <c r="J186" i="1" l="1"/>
  <c r="K186" i="1" s="1"/>
  <c r="L186" i="1" s="1"/>
  <c r="G187" i="1" s="1"/>
  <c r="M186" i="1" l="1"/>
  <c r="H187" i="1" s="1"/>
  <c r="J187" i="1" s="1"/>
  <c r="K187" i="1" s="1"/>
  <c r="L187" i="1" s="1"/>
  <c r="G188" i="1" s="1"/>
  <c r="N187" i="1" l="1"/>
  <c r="I188" i="1" s="1"/>
  <c r="M187" i="1"/>
  <c r="H188" i="1" s="1"/>
  <c r="J188" i="1" l="1"/>
  <c r="K188" i="1" s="1"/>
  <c r="L188" i="1" s="1"/>
  <c r="G189" i="1" s="1"/>
  <c r="N188" i="1"/>
  <c r="I189" i="1" s="1"/>
  <c r="M188" i="1" l="1"/>
  <c r="H189" i="1" s="1"/>
  <c r="N189" i="1" s="1"/>
  <c r="I190" i="1" s="1"/>
  <c r="J189" i="1" l="1"/>
  <c r="K189" i="1" s="1"/>
  <c r="L189" i="1" s="1"/>
  <c r="G190" i="1" s="1"/>
  <c r="M189" i="1" l="1"/>
  <c r="H190" i="1" s="1"/>
  <c r="J190" i="1" s="1"/>
  <c r="K190" i="1" s="1"/>
  <c r="L190" i="1" s="1"/>
  <c r="G191" i="1" s="1"/>
  <c r="N190" i="1" l="1"/>
  <c r="I191" i="1" s="1"/>
  <c r="M190" i="1"/>
  <c r="H191" i="1" s="1"/>
  <c r="J191" i="1" s="1"/>
  <c r="K191" i="1" s="1"/>
  <c r="L191" i="1" s="1"/>
  <c r="G192" i="1" s="1"/>
  <c r="N191" i="1" l="1"/>
  <c r="I192" i="1" s="1"/>
  <c r="M191" i="1"/>
  <c r="H192" i="1" s="1"/>
  <c r="N192" i="1" l="1"/>
  <c r="I193" i="1" s="1"/>
  <c r="J192" i="1"/>
  <c r="K192" i="1" s="1"/>
  <c r="L192" i="1" s="1"/>
  <c r="G193" i="1" s="1"/>
  <c r="M192" i="1" l="1"/>
  <c r="H193" i="1" s="1"/>
  <c r="J193" i="1" s="1"/>
  <c r="K193" i="1" s="1"/>
  <c r="L193" i="1" s="1"/>
  <c r="G194" i="1" s="1"/>
  <c r="M193" i="1" l="1"/>
  <c r="H194" i="1" s="1"/>
  <c r="J194" i="1" s="1"/>
  <c r="K194" i="1" s="1"/>
  <c r="L194" i="1" s="1"/>
  <c r="G195" i="1" s="1"/>
  <c r="N193" i="1"/>
  <c r="I194" i="1" s="1"/>
  <c r="N194" i="1" l="1"/>
  <c r="I195" i="1" s="1"/>
  <c r="M194" i="1"/>
  <c r="H195" i="1" s="1"/>
  <c r="J195" i="1" s="1"/>
  <c r="K195" i="1" s="1"/>
  <c r="L195" i="1" s="1"/>
  <c r="G196" i="1" s="1"/>
  <c r="N195" i="1" l="1"/>
  <c r="I196" i="1" s="1"/>
  <c r="M195" i="1"/>
  <c r="H196" i="1" s="1"/>
  <c r="N196" i="1" l="1"/>
  <c r="I197" i="1" s="1"/>
  <c r="J196" i="1"/>
  <c r="K196" i="1" s="1"/>
  <c r="L196" i="1" s="1"/>
  <c r="G197" i="1" s="1"/>
  <c r="M196" i="1" l="1"/>
  <c r="H197" i="1" s="1"/>
  <c r="N197" i="1" l="1"/>
  <c r="I198" i="1" s="1"/>
  <c r="J197" i="1"/>
  <c r="K197" i="1" s="1"/>
  <c r="L197" i="1" s="1"/>
  <c r="G198" i="1" s="1"/>
  <c r="M197" i="1" l="1"/>
  <c r="H198" i="1" s="1"/>
  <c r="N198" i="1" l="1"/>
  <c r="I199" i="1" s="1"/>
  <c r="J198" i="1"/>
  <c r="K198" i="1" s="1"/>
  <c r="L198" i="1" s="1"/>
  <c r="G199" i="1" s="1"/>
  <c r="M198" i="1" l="1"/>
  <c r="H199" i="1" s="1"/>
  <c r="N199" i="1" l="1"/>
  <c r="I200" i="1" s="1"/>
  <c r="J199" i="1"/>
  <c r="K199" i="1" s="1"/>
  <c r="L199" i="1" s="1"/>
  <c r="G200" i="1" s="1"/>
  <c r="M199" i="1" l="1"/>
  <c r="H200" i="1" s="1"/>
  <c r="N200" i="1" l="1"/>
  <c r="I201" i="1" s="1"/>
  <c r="J200" i="1"/>
  <c r="K200" i="1" s="1"/>
  <c r="L200" i="1" s="1"/>
  <c r="G201" i="1" s="1"/>
  <c r="M200" i="1" l="1"/>
  <c r="H201" i="1" s="1"/>
  <c r="J201" i="1" l="1"/>
  <c r="K201" i="1" s="1"/>
  <c r="L201" i="1" s="1"/>
  <c r="G202" i="1" s="1"/>
  <c r="N201" i="1"/>
  <c r="I202" i="1" s="1"/>
  <c r="M201" i="1" l="1"/>
  <c r="H202" i="1" s="1"/>
  <c r="J202" i="1" l="1"/>
  <c r="K202" i="1" s="1"/>
  <c r="L202" i="1" s="1"/>
  <c r="G203" i="1" s="1"/>
  <c r="N202" i="1"/>
  <c r="I203" i="1" s="1"/>
  <c r="M202" i="1" l="1"/>
  <c r="H203" i="1" s="1"/>
  <c r="J203" i="1" l="1"/>
  <c r="K203" i="1" s="1"/>
  <c r="L203" i="1" s="1"/>
  <c r="G204" i="1" s="1"/>
  <c r="N203" i="1"/>
  <c r="I204" i="1" s="1"/>
  <c r="M203" i="1" l="1"/>
  <c r="H204" i="1" s="1"/>
  <c r="J204" i="1" l="1"/>
  <c r="K204" i="1" s="1"/>
  <c r="L204" i="1" s="1"/>
  <c r="G205" i="1" s="1"/>
  <c r="N204" i="1"/>
  <c r="I205" i="1" s="1"/>
  <c r="M204" i="1" l="1"/>
  <c r="H205" i="1" s="1"/>
  <c r="N205" i="1" l="1"/>
  <c r="I206" i="1" s="1"/>
  <c r="J205" i="1"/>
  <c r="K205" i="1" s="1"/>
  <c r="L205" i="1" s="1"/>
  <c r="G206" i="1" s="1"/>
  <c r="M205" i="1" l="1"/>
  <c r="H206" i="1" s="1"/>
  <c r="J206" i="1" l="1"/>
  <c r="K206" i="1" s="1"/>
  <c r="L206" i="1" s="1"/>
  <c r="G207" i="1" s="1"/>
  <c r="N206" i="1"/>
  <c r="I207" i="1" s="1"/>
  <c r="M206" i="1" l="1"/>
  <c r="H207" i="1" s="1"/>
  <c r="J207" i="1" l="1"/>
  <c r="K207" i="1" s="1"/>
  <c r="L207" i="1" s="1"/>
  <c r="G208" i="1" s="1"/>
  <c r="N207" i="1"/>
  <c r="I208" i="1" s="1"/>
  <c r="M207" i="1" l="1"/>
  <c r="H208" i="1" s="1"/>
  <c r="J208" i="1" l="1"/>
  <c r="K208" i="1" s="1"/>
  <c r="L208" i="1" s="1"/>
  <c r="G209" i="1" s="1"/>
  <c r="N208" i="1"/>
  <c r="I209" i="1" s="1"/>
  <c r="M208" i="1" l="1"/>
  <c r="H209" i="1" s="1"/>
  <c r="N209" i="1" s="1"/>
  <c r="I210" i="1" s="1"/>
  <c r="J209" i="1" l="1"/>
  <c r="K209" i="1" s="1"/>
  <c r="L209" i="1" s="1"/>
  <c r="G210" i="1" s="1"/>
  <c r="M209" i="1" l="1"/>
  <c r="H210" i="1" s="1"/>
  <c r="N210" i="1" s="1"/>
  <c r="I211" i="1" s="1"/>
  <c r="J210" i="1" l="1"/>
  <c r="K210" i="1" s="1"/>
  <c r="L210" i="1" s="1"/>
  <c r="G211" i="1" s="1"/>
  <c r="M210" i="1"/>
  <c r="H211" i="1" s="1"/>
  <c r="J211" i="1" l="1"/>
  <c r="K211" i="1" s="1"/>
  <c r="L211" i="1" s="1"/>
  <c r="G212" i="1" s="1"/>
  <c r="N211" i="1"/>
  <c r="I212" i="1" s="1"/>
  <c r="M211" i="1" l="1"/>
  <c r="H212" i="1" s="1"/>
  <c r="J212" i="1" l="1"/>
  <c r="K212" i="1" s="1"/>
  <c r="L212" i="1" s="1"/>
  <c r="G213" i="1" s="1"/>
  <c r="N212" i="1"/>
  <c r="I213" i="1" s="1"/>
  <c r="M212" i="1" l="1"/>
  <c r="H213" i="1" s="1"/>
  <c r="J213" i="1" s="1"/>
  <c r="K213" i="1" s="1"/>
  <c r="L213" i="1" s="1"/>
  <c r="G214" i="1" s="1"/>
  <c r="N213" i="1" l="1"/>
  <c r="I214" i="1" s="1"/>
  <c r="M213" i="1"/>
  <c r="H214" i="1" s="1"/>
  <c r="J214" i="1" s="1"/>
  <c r="K214" i="1" s="1"/>
  <c r="L214" i="1" s="1"/>
  <c r="G215" i="1" s="1"/>
  <c r="N214" i="1" l="1"/>
  <c r="I215" i="1" s="1"/>
  <c r="M214" i="1"/>
  <c r="H215" i="1" s="1"/>
  <c r="N215" i="1" l="1"/>
  <c r="I216" i="1" s="1"/>
  <c r="J215" i="1"/>
  <c r="K215" i="1" s="1"/>
  <c r="L215" i="1" s="1"/>
  <c r="G216" i="1" s="1"/>
  <c r="M215" i="1" l="1"/>
  <c r="H216" i="1" s="1"/>
  <c r="N216" i="1" s="1"/>
  <c r="I217" i="1" s="1"/>
  <c r="J216" i="1" l="1"/>
  <c r="K216" i="1" s="1"/>
  <c r="L216" i="1" s="1"/>
  <c r="G217" i="1" s="1"/>
  <c r="M216" i="1" l="1"/>
  <c r="H217" i="1" s="1"/>
  <c r="N217" i="1" s="1"/>
  <c r="I218" i="1" s="1"/>
  <c r="J217" i="1" l="1"/>
  <c r="K217" i="1" s="1"/>
  <c r="L217" i="1" s="1"/>
  <c r="G218" i="1" s="1"/>
  <c r="M217" i="1"/>
  <c r="H218" i="1" s="1"/>
  <c r="N218" i="1" l="1"/>
  <c r="I219" i="1" s="1"/>
  <c r="J218" i="1"/>
  <c r="K218" i="1" s="1"/>
  <c r="L218" i="1" s="1"/>
  <c r="G219" i="1" s="1"/>
  <c r="M218" i="1" l="1"/>
  <c r="H219" i="1" s="1"/>
  <c r="N219" i="1" l="1"/>
  <c r="I220" i="1" s="1"/>
  <c r="J219" i="1"/>
  <c r="K219" i="1" s="1"/>
  <c r="L219" i="1" s="1"/>
  <c r="G220" i="1" s="1"/>
  <c r="M219" i="1" l="1"/>
  <c r="H220" i="1" s="1"/>
  <c r="J220" i="1" l="1"/>
  <c r="K220" i="1" s="1"/>
  <c r="L220" i="1" s="1"/>
  <c r="G221" i="1" s="1"/>
  <c r="N220" i="1"/>
  <c r="I221" i="1" s="1"/>
  <c r="M220" i="1" l="1"/>
  <c r="H221" i="1" s="1"/>
  <c r="J221" i="1" l="1"/>
  <c r="K221" i="1" s="1"/>
  <c r="L221" i="1" s="1"/>
  <c r="G222" i="1" s="1"/>
  <c r="N221" i="1"/>
  <c r="I222" i="1" s="1"/>
  <c r="M221" i="1" l="1"/>
  <c r="H222" i="1" s="1"/>
  <c r="J222" i="1" l="1"/>
  <c r="K222" i="1" s="1"/>
  <c r="L222" i="1" s="1"/>
  <c r="G223" i="1" s="1"/>
  <c r="N222" i="1"/>
  <c r="I223" i="1" s="1"/>
  <c r="M222" i="1" l="1"/>
  <c r="H223" i="1" s="1"/>
  <c r="J223" i="1" l="1"/>
  <c r="K223" i="1" s="1"/>
  <c r="L223" i="1" s="1"/>
  <c r="G224" i="1" s="1"/>
  <c r="N223" i="1"/>
  <c r="I224" i="1" s="1"/>
  <c r="M223" i="1" l="1"/>
  <c r="H224" i="1" s="1"/>
  <c r="N224" i="1" l="1"/>
  <c r="I225" i="1" s="1"/>
  <c r="J224" i="1"/>
  <c r="K224" i="1" s="1"/>
  <c r="L224" i="1" s="1"/>
  <c r="G225" i="1" s="1"/>
  <c r="M224" i="1" l="1"/>
  <c r="H225" i="1" s="1"/>
  <c r="N225" i="1" l="1"/>
  <c r="I226" i="1" s="1"/>
  <c r="J225" i="1"/>
  <c r="K225" i="1" s="1"/>
  <c r="L225" i="1" s="1"/>
  <c r="G226" i="1" s="1"/>
  <c r="M225" i="1" l="1"/>
  <c r="H226" i="1" s="1"/>
  <c r="N226" i="1" l="1"/>
  <c r="I227" i="1" s="1"/>
  <c r="J226" i="1"/>
  <c r="K226" i="1" s="1"/>
  <c r="L226" i="1" s="1"/>
  <c r="G227" i="1" s="1"/>
  <c r="M226" i="1" l="1"/>
  <c r="H227" i="1" s="1"/>
  <c r="N227" i="1" l="1"/>
  <c r="I228" i="1" s="1"/>
  <c r="J227" i="1"/>
  <c r="K227" i="1" s="1"/>
  <c r="L227" i="1" s="1"/>
  <c r="G228" i="1" s="1"/>
  <c r="M227" i="1" l="1"/>
  <c r="H228" i="1" s="1"/>
  <c r="N228" i="1" l="1"/>
  <c r="I229" i="1" s="1"/>
  <c r="J228" i="1"/>
  <c r="K228" i="1" s="1"/>
  <c r="L228" i="1" s="1"/>
  <c r="G229" i="1" s="1"/>
  <c r="M228" i="1" l="1"/>
  <c r="H229" i="1" s="1"/>
  <c r="J229" i="1" l="1"/>
  <c r="K229" i="1" s="1"/>
  <c r="L229" i="1" s="1"/>
  <c r="G230" i="1" s="1"/>
  <c r="N229" i="1"/>
  <c r="I230" i="1" s="1"/>
  <c r="M229" i="1" l="1"/>
  <c r="H230" i="1" s="1"/>
  <c r="N230" i="1" l="1"/>
  <c r="I231" i="1" s="1"/>
  <c r="J230" i="1"/>
  <c r="K230" i="1" s="1"/>
  <c r="L230" i="1" s="1"/>
  <c r="G231" i="1" s="1"/>
  <c r="M230" i="1" l="1"/>
  <c r="H231" i="1" s="1"/>
  <c r="N231" i="1" l="1"/>
  <c r="I232" i="1" s="1"/>
  <c r="J231" i="1"/>
  <c r="K231" i="1" s="1"/>
  <c r="L231" i="1" s="1"/>
  <c r="G232" i="1" s="1"/>
  <c r="M231" i="1" l="1"/>
  <c r="H232" i="1" s="1"/>
  <c r="J232" i="1" l="1"/>
  <c r="K232" i="1" s="1"/>
  <c r="L232" i="1" s="1"/>
  <c r="G233" i="1" s="1"/>
  <c r="N232" i="1"/>
  <c r="I233" i="1" s="1"/>
  <c r="M232" i="1" l="1"/>
  <c r="H233" i="1" s="1"/>
  <c r="J233" i="1" l="1"/>
  <c r="K233" i="1" s="1"/>
  <c r="L233" i="1" s="1"/>
  <c r="G234" i="1" s="1"/>
  <c r="N233" i="1"/>
  <c r="I234" i="1" s="1"/>
  <c r="M233" i="1" l="1"/>
  <c r="H234" i="1" s="1"/>
  <c r="J234" i="1" l="1"/>
  <c r="K234" i="1" s="1"/>
  <c r="L234" i="1" s="1"/>
  <c r="G235" i="1" s="1"/>
  <c r="N234" i="1"/>
  <c r="I235" i="1" s="1"/>
  <c r="M234" i="1" l="1"/>
  <c r="H235" i="1" s="1"/>
  <c r="J235" i="1" l="1"/>
  <c r="K235" i="1" s="1"/>
  <c r="L235" i="1" s="1"/>
  <c r="G236" i="1" s="1"/>
  <c r="N235" i="1"/>
  <c r="I236" i="1" s="1"/>
  <c r="M235" i="1" l="1"/>
  <c r="H236" i="1" s="1"/>
  <c r="N236" i="1" l="1"/>
  <c r="I237" i="1" s="1"/>
  <c r="J236" i="1"/>
  <c r="K236" i="1" s="1"/>
  <c r="L236" i="1" s="1"/>
  <c r="G237" i="1" s="1"/>
  <c r="M236" i="1" l="1"/>
  <c r="H237" i="1" s="1"/>
  <c r="N237" i="1" l="1"/>
  <c r="I238" i="1" s="1"/>
  <c r="J237" i="1"/>
  <c r="K237" i="1" s="1"/>
  <c r="L237" i="1" s="1"/>
  <c r="G238" i="1" s="1"/>
  <c r="M237" i="1" l="1"/>
  <c r="H238" i="1" s="1"/>
  <c r="N238" i="1" l="1"/>
  <c r="I239" i="1" s="1"/>
  <c r="J238" i="1"/>
  <c r="K238" i="1" s="1"/>
  <c r="L238" i="1" s="1"/>
  <c r="G239" i="1" s="1"/>
  <c r="M238" i="1" l="1"/>
  <c r="H239" i="1" s="1"/>
  <c r="N239" i="1" l="1"/>
  <c r="I240" i="1" s="1"/>
  <c r="J239" i="1"/>
  <c r="K239" i="1" s="1"/>
  <c r="L239" i="1" s="1"/>
  <c r="G240" i="1" s="1"/>
  <c r="M239" i="1" l="1"/>
  <c r="H240" i="1" s="1"/>
  <c r="J240" i="1" l="1"/>
  <c r="K240" i="1" s="1"/>
  <c r="L240" i="1" s="1"/>
  <c r="G241" i="1" s="1"/>
  <c r="N240" i="1"/>
  <c r="I241" i="1" s="1"/>
  <c r="M240" i="1" l="1"/>
  <c r="H241" i="1" s="1"/>
  <c r="J241" i="1" l="1"/>
  <c r="K241" i="1" s="1"/>
  <c r="L241" i="1" s="1"/>
  <c r="G242" i="1" s="1"/>
  <c r="N241" i="1"/>
  <c r="I242" i="1" s="1"/>
  <c r="M241" i="1" l="1"/>
  <c r="H242" i="1" s="1"/>
  <c r="J242" i="1" l="1"/>
  <c r="K242" i="1" s="1"/>
  <c r="L242" i="1" s="1"/>
  <c r="G243" i="1" s="1"/>
  <c r="N242" i="1"/>
  <c r="I243" i="1" s="1"/>
  <c r="M242" i="1" l="1"/>
  <c r="H243" i="1" s="1"/>
  <c r="J243" i="1" l="1"/>
  <c r="K243" i="1" s="1"/>
  <c r="L243" i="1" s="1"/>
  <c r="G244" i="1" s="1"/>
  <c r="N243" i="1"/>
  <c r="I244" i="1" s="1"/>
  <c r="M243" i="1" l="1"/>
  <c r="H244" i="1" s="1"/>
  <c r="J244" i="1" l="1"/>
  <c r="K244" i="1" s="1"/>
  <c r="L244" i="1" s="1"/>
  <c r="G245" i="1" s="1"/>
  <c r="N244" i="1"/>
  <c r="I245" i="1" s="1"/>
  <c r="M244" i="1" l="1"/>
  <c r="H245" i="1" s="1"/>
  <c r="J245" i="1" l="1"/>
  <c r="K245" i="1" s="1"/>
  <c r="L245" i="1" s="1"/>
  <c r="G246" i="1" s="1"/>
  <c r="N245" i="1"/>
  <c r="I246" i="1" s="1"/>
  <c r="M245" i="1" l="1"/>
  <c r="H246" i="1" s="1"/>
  <c r="N246" i="1" l="1"/>
  <c r="I247" i="1" s="1"/>
  <c r="J246" i="1"/>
  <c r="K246" i="1" s="1"/>
  <c r="L246" i="1" s="1"/>
  <c r="G247" i="1" s="1"/>
  <c r="M246" i="1" l="1"/>
  <c r="H247" i="1" s="1"/>
  <c r="N247" i="1" l="1"/>
  <c r="I248" i="1" s="1"/>
  <c r="J247" i="1"/>
  <c r="K247" i="1" s="1"/>
  <c r="L247" i="1" s="1"/>
  <c r="G248" i="1" s="1"/>
  <c r="M247" i="1" l="1"/>
  <c r="H248" i="1" s="1"/>
  <c r="N248" i="1" l="1"/>
  <c r="I249" i="1" s="1"/>
  <c r="J248" i="1"/>
  <c r="K248" i="1" s="1"/>
  <c r="L248" i="1" s="1"/>
  <c r="G249" i="1" s="1"/>
  <c r="M248" i="1" l="1"/>
  <c r="H249" i="1" s="1"/>
  <c r="N249" i="1" l="1"/>
  <c r="I250" i="1" s="1"/>
  <c r="J249" i="1"/>
  <c r="K249" i="1" s="1"/>
  <c r="L249" i="1" s="1"/>
  <c r="G250" i="1" s="1"/>
  <c r="M249" i="1" l="1"/>
  <c r="H250" i="1" s="1"/>
  <c r="N250" i="1" l="1"/>
  <c r="I251" i="1" s="1"/>
  <c r="J250" i="1"/>
  <c r="K250" i="1" s="1"/>
  <c r="L250" i="1" s="1"/>
  <c r="G251" i="1" s="1"/>
  <c r="M250" i="1" l="1"/>
  <c r="H251" i="1" s="1"/>
  <c r="N251" i="1" l="1"/>
  <c r="I252" i="1" s="1"/>
  <c r="J251" i="1"/>
  <c r="K251" i="1" s="1"/>
  <c r="L251" i="1" s="1"/>
  <c r="G252" i="1" s="1"/>
  <c r="M251" i="1" l="1"/>
  <c r="H252" i="1" s="1"/>
  <c r="N252" i="1" l="1"/>
  <c r="I253" i="1" s="1"/>
  <c r="J252" i="1"/>
  <c r="K252" i="1" s="1"/>
  <c r="L252" i="1" s="1"/>
  <c r="G253" i="1" s="1"/>
  <c r="M252" i="1" l="1"/>
  <c r="H253" i="1" s="1"/>
  <c r="J253" i="1" l="1"/>
  <c r="K253" i="1" s="1"/>
  <c r="L253" i="1" s="1"/>
  <c r="G254" i="1" s="1"/>
  <c r="N253" i="1"/>
  <c r="I254" i="1" s="1"/>
  <c r="M253" i="1" l="1"/>
  <c r="H254" i="1" s="1"/>
  <c r="J254" i="1" l="1"/>
  <c r="K254" i="1" s="1"/>
  <c r="L254" i="1" s="1"/>
  <c r="G255" i="1" s="1"/>
  <c r="N254" i="1"/>
  <c r="I255" i="1" s="1"/>
  <c r="M254" i="1" l="1"/>
  <c r="H255" i="1" s="1"/>
  <c r="J255" i="1" l="1"/>
  <c r="K255" i="1" s="1"/>
  <c r="L255" i="1" s="1"/>
  <c r="G256" i="1" s="1"/>
  <c r="N255" i="1"/>
  <c r="I256" i="1" s="1"/>
  <c r="M255" i="1" l="1"/>
  <c r="H256" i="1" s="1"/>
  <c r="J256" i="1" l="1"/>
  <c r="K256" i="1" s="1"/>
  <c r="L256" i="1" s="1"/>
  <c r="G257" i="1" s="1"/>
  <c r="N256" i="1"/>
  <c r="I257" i="1" s="1"/>
  <c r="M256" i="1" l="1"/>
  <c r="H257" i="1" s="1"/>
  <c r="N257" i="1" l="1"/>
  <c r="I258" i="1" s="1"/>
  <c r="J257" i="1"/>
  <c r="K257" i="1" s="1"/>
  <c r="L257" i="1" s="1"/>
  <c r="G258" i="1" s="1"/>
  <c r="M257" i="1" l="1"/>
  <c r="H258" i="1" s="1"/>
  <c r="J258" i="1" l="1"/>
  <c r="K258" i="1" s="1"/>
  <c r="L258" i="1" s="1"/>
  <c r="G259" i="1" s="1"/>
  <c r="N258" i="1"/>
  <c r="I259" i="1" s="1"/>
  <c r="M258" i="1" l="1"/>
  <c r="H259" i="1" s="1"/>
  <c r="J259" i="1" l="1"/>
  <c r="K259" i="1" s="1"/>
  <c r="L259" i="1" s="1"/>
  <c r="G260" i="1" s="1"/>
  <c r="N259" i="1"/>
  <c r="I260" i="1" s="1"/>
  <c r="M259" i="1" l="1"/>
  <c r="H260" i="1" s="1"/>
  <c r="J260" i="1" l="1"/>
  <c r="K260" i="1" s="1"/>
  <c r="L260" i="1" s="1"/>
  <c r="G261" i="1" s="1"/>
  <c r="N260" i="1"/>
  <c r="I261" i="1" s="1"/>
  <c r="M260" i="1" l="1"/>
  <c r="H261" i="1" s="1"/>
  <c r="N261" i="1" l="1"/>
  <c r="I262" i="1" s="1"/>
  <c r="J261" i="1"/>
  <c r="K261" i="1" s="1"/>
  <c r="L261" i="1" s="1"/>
  <c r="G262" i="1" s="1"/>
  <c r="M261" i="1" l="1"/>
  <c r="H262" i="1" s="1"/>
  <c r="J262" i="1" l="1"/>
  <c r="K262" i="1" s="1"/>
  <c r="L262" i="1" s="1"/>
  <c r="G263" i="1" s="1"/>
  <c r="N262" i="1"/>
  <c r="I263" i="1" s="1"/>
  <c r="M262" i="1" l="1"/>
  <c r="H263" i="1" s="1"/>
  <c r="N263" i="1" l="1"/>
  <c r="I264" i="1" s="1"/>
  <c r="J263" i="1"/>
  <c r="K263" i="1" s="1"/>
  <c r="L263" i="1" s="1"/>
  <c r="G264" i="1" s="1"/>
  <c r="M263" i="1" l="1"/>
  <c r="H264" i="1" s="1"/>
  <c r="N264" i="1" l="1"/>
  <c r="I265" i="1" s="1"/>
  <c r="J264" i="1"/>
  <c r="K264" i="1" s="1"/>
  <c r="L264" i="1" s="1"/>
  <c r="G265" i="1" s="1"/>
  <c r="M264" i="1" l="1"/>
  <c r="H265" i="1" s="1"/>
  <c r="N265" i="1" l="1"/>
  <c r="I266" i="1" s="1"/>
  <c r="J265" i="1"/>
  <c r="K265" i="1" s="1"/>
  <c r="L265" i="1" s="1"/>
  <c r="G266" i="1" s="1"/>
  <c r="M265" i="1" l="1"/>
  <c r="H266" i="1" s="1"/>
  <c r="N266" i="1" l="1"/>
  <c r="I267" i="1" s="1"/>
  <c r="J266" i="1"/>
  <c r="K266" i="1" s="1"/>
  <c r="L266" i="1" s="1"/>
  <c r="G267" i="1" s="1"/>
  <c r="M266" i="1" l="1"/>
  <c r="H267" i="1" s="1"/>
  <c r="J267" i="1" l="1"/>
  <c r="K267" i="1" s="1"/>
  <c r="L267" i="1" s="1"/>
  <c r="G268" i="1" s="1"/>
  <c r="N267" i="1"/>
  <c r="I268" i="1" s="1"/>
  <c r="M267" i="1" l="1"/>
  <c r="H268" i="1" s="1"/>
  <c r="J268" i="1" l="1"/>
  <c r="K268" i="1" s="1"/>
  <c r="L268" i="1" s="1"/>
  <c r="G269" i="1" s="1"/>
  <c r="N268" i="1"/>
  <c r="I269" i="1" s="1"/>
  <c r="M268" i="1" l="1"/>
  <c r="H269" i="1" s="1"/>
  <c r="J269" i="1" s="1"/>
  <c r="K269" i="1" s="1"/>
  <c r="L269" i="1" s="1"/>
  <c r="G270" i="1" s="1"/>
  <c r="N269" i="1" l="1"/>
  <c r="I270" i="1" s="1"/>
  <c r="M269" i="1"/>
  <c r="H270" i="1" s="1"/>
  <c r="J270" i="1" l="1"/>
  <c r="K270" i="1" s="1"/>
  <c r="L270" i="1" s="1"/>
  <c r="G271" i="1" s="1"/>
  <c r="N270" i="1"/>
  <c r="I271" i="1" s="1"/>
  <c r="M270" i="1" l="1"/>
  <c r="H271" i="1" s="1"/>
  <c r="J271" i="1" l="1"/>
  <c r="K271" i="1" s="1"/>
  <c r="L271" i="1" s="1"/>
  <c r="G272" i="1" s="1"/>
  <c r="N271" i="1"/>
  <c r="I272" i="1" s="1"/>
  <c r="M271" i="1" l="1"/>
  <c r="H272" i="1" s="1"/>
  <c r="J272" i="1" l="1"/>
  <c r="K272" i="1" s="1"/>
  <c r="L272" i="1" s="1"/>
  <c r="G273" i="1" s="1"/>
  <c r="N272" i="1"/>
  <c r="I273" i="1" s="1"/>
  <c r="M272" i="1" l="1"/>
  <c r="H273" i="1" s="1"/>
  <c r="N273" i="1" l="1"/>
  <c r="I274" i="1" s="1"/>
  <c r="J273" i="1"/>
  <c r="K273" i="1" s="1"/>
  <c r="L273" i="1" s="1"/>
  <c r="G274" i="1" s="1"/>
  <c r="M273" i="1" l="1"/>
  <c r="H274" i="1" s="1"/>
  <c r="N274" i="1" l="1"/>
  <c r="I275" i="1" s="1"/>
  <c r="J274" i="1"/>
  <c r="K274" i="1" s="1"/>
  <c r="L274" i="1" s="1"/>
  <c r="G275" i="1" s="1"/>
  <c r="M274" i="1" l="1"/>
  <c r="H275" i="1" s="1"/>
  <c r="N275" i="1" l="1"/>
  <c r="I276" i="1" s="1"/>
  <c r="J275" i="1"/>
  <c r="K275" i="1" s="1"/>
  <c r="L275" i="1" s="1"/>
  <c r="G276" i="1" s="1"/>
  <c r="M275" i="1" l="1"/>
  <c r="H276" i="1" s="1"/>
  <c r="N276" i="1" l="1"/>
  <c r="I277" i="1" s="1"/>
  <c r="J276" i="1"/>
  <c r="K276" i="1" s="1"/>
  <c r="L276" i="1" s="1"/>
  <c r="G277" i="1" s="1"/>
  <c r="M276" i="1" l="1"/>
  <c r="H277" i="1" s="1"/>
  <c r="N277" i="1" l="1"/>
  <c r="I278" i="1" s="1"/>
  <c r="J277" i="1"/>
  <c r="K277" i="1" s="1"/>
  <c r="L277" i="1" s="1"/>
  <c r="G278" i="1" s="1"/>
  <c r="M277" i="1" l="1"/>
  <c r="H278" i="1" s="1"/>
  <c r="N278" i="1" l="1"/>
  <c r="I279" i="1" s="1"/>
  <c r="J278" i="1"/>
  <c r="K278" i="1" s="1"/>
  <c r="L278" i="1" s="1"/>
  <c r="G279" i="1" s="1"/>
  <c r="M278" i="1" l="1"/>
  <c r="H279" i="1" s="1"/>
  <c r="N279" i="1" l="1"/>
  <c r="I280" i="1" s="1"/>
  <c r="J279" i="1"/>
  <c r="K279" i="1" s="1"/>
  <c r="L279" i="1" s="1"/>
  <c r="G280" i="1" s="1"/>
  <c r="M279" i="1" l="1"/>
  <c r="H280" i="1" s="1"/>
  <c r="J280" i="1" l="1"/>
  <c r="K280" i="1" s="1"/>
  <c r="L280" i="1" s="1"/>
  <c r="G281" i="1" s="1"/>
  <c r="N280" i="1"/>
  <c r="I281" i="1" s="1"/>
  <c r="M280" i="1" l="1"/>
  <c r="H281" i="1" s="1"/>
  <c r="J281" i="1" l="1"/>
  <c r="K281" i="1" s="1"/>
  <c r="L281" i="1" s="1"/>
  <c r="G282" i="1" s="1"/>
  <c r="N281" i="1"/>
  <c r="I282" i="1" s="1"/>
  <c r="M281" i="1" l="1"/>
  <c r="H282" i="1" s="1"/>
  <c r="N282" i="1" l="1"/>
  <c r="I283" i="1" s="1"/>
  <c r="J282" i="1"/>
  <c r="K282" i="1" s="1"/>
  <c r="L282" i="1" s="1"/>
  <c r="G283" i="1" s="1"/>
  <c r="M282" i="1" l="1"/>
  <c r="H283" i="1" s="1"/>
  <c r="N283" i="1" l="1"/>
  <c r="I284" i="1" s="1"/>
  <c r="J283" i="1"/>
  <c r="K283" i="1" s="1"/>
  <c r="L283" i="1" s="1"/>
  <c r="G284" i="1" s="1"/>
  <c r="M283" i="1" l="1"/>
  <c r="H284" i="1" s="1"/>
  <c r="J284" i="1" l="1"/>
  <c r="K284" i="1" s="1"/>
  <c r="L284" i="1" s="1"/>
  <c r="G285" i="1" s="1"/>
  <c r="M284" i="1"/>
  <c r="H285" i="1" s="1"/>
  <c r="N284" i="1"/>
  <c r="I285" i="1" s="1"/>
  <c r="N285" i="1" l="1"/>
  <c r="J285" i="1"/>
  <c r="K285" i="1" s="1"/>
  <c r="L285" i="1" s="1"/>
  <c r="G286" i="1" s="1"/>
  <c r="I286" i="1"/>
  <c r="M285" i="1" l="1"/>
  <c r="H286" i="1" s="1"/>
  <c r="N286" i="1" l="1"/>
  <c r="I287" i="1" s="1"/>
  <c r="J286" i="1"/>
  <c r="K286" i="1" s="1"/>
  <c r="L286" i="1" s="1"/>
  <c r="G287" i="1" s="1"/>
  <c r="M286" i="1" l="1"/>
  <c r="H287" i="1" s="1"/>
  <c r="J287" i="1" l="1"/>
  <c r="K287" i="1" s="1"/>
  <c r="L287" i="1" s="1"/>
  <c r="G288" i="1" s="1"/>
  <c r="N287" i="1"/>
  <c r="I288" i="1" s="1"/>
  <c r="M287" i="1" l="1"/>
  <c r="H288" i="1" s="1"/>
  <c r="N288" i="1" s="1"/>
  <c r="I289" i="1" s="1"/>
  <c r="J288" i="1" l="1"/>
  <c r="K288" i="1" s="1"/>
  <c r="L288" i="1" s="1"/>
  <c r="G289" i="1" s="1"/>
  <c r="M288" i="1" l="1"/>
  <c r="H289" i="1" s="1"/>
  <c r="J289" i="1" s="1"/>
  <c r="K289" i="1" s="1"/>
  <c r="L289" i="1" s="1"/>
  <c r="G290" i="1" s="1"/>
  <c r="N289" i="1"/>
  <c r="I290" i="1" s="1"/>
  <c r="M289" i="1" l="1"/>
  <c r="H290" i="1" s="1"/>
  <c r="J290" i="1" l="1"/>
  <c r="K290" i="1" s="1"/>
  <c r="L290" i="1" s="1"/>
  <c r="G291" i="1" s="1"/>
  <c r="N290" i="1"/>
  <c r="I291" i="1" s="1"/>
  <c r="M290" i="1" l="1"/>
  <c r="H291" i="1" s="1"/>
  <c r="N291" i="1" s="1"/>
  <c r="I292" i="1" s="1"/>
  <c r="J291" i="1" l="1"/>
  <c r="K291" i="1" s="1"/>
  <c r="L291" i="1" s="1"/>
  <c r="G292" i="1" s="1"/>
  <c r="M291" i="1"/>
  <c r="H292" i="1" s="1"/>
  <c r="N292" i="1" l="1"/>
  <c r="I293" i="1" s="1"/>
  <c r="J292" i="1"/>
  <c r="K292" i="1" s="1"/>
  <c r="L292" i="1" s="1"/>
  <c r="G293" i="1" s="1"/>
  <c r="M292" i="1" l="1"/>
  <c r="H293" i="1" s="1"/>
  <c r="J293" i="1" l="1"/>
  <c r="K293" i="1" s="1"/>
  <c r="L293" i="1" s="1"/>
  <c r="G294" i="1" s="1"/>
  <c r="N293" i="1"/>
  <c r="I294" i="1" s="1"/>
  <c r="M293" i="1" l="1"/>
  <c r="H294" i="1" s="1"/>
  <c r="N294" i="1" l="1"/>
  <c r="I295" i="1" s="1"/>
  <c r="J294" i="1"/>
  <c r="K294" i="1" s="1"/>
  <c r="L294" i="1" s="1"/>
  <c r="G295" i="1" s="1"/>
  <c r="M294" i="1" l="1"/>
  <c r="H295" i="1" s="1"/>
  <c r="N295" i="1" l="1"/>
  <c r="I296" i="1" s="1"/>
  <c r="J295" i="1"/>
  <c r="K295" i="1" s="1"/>
  <c r="L295" i="1" s="1"/>
  <c r="G296" i="1" s="1"/>
  <c r="M295" i="1" l="1"/>
  <c r="H296" i="1" s="1"/>
  <c r="J296" i="1" l="1"/>
  <c r="K296" i="1" s="1"/>
  <c r="L296" i="1" s="1"/>
  <c r="G297" i="1" s="1"/>
  <c r="N296" i="1"/>
  <c r="I297" i="1" s="1"/>
  <c r="M296" i="1" l="1"/>
  <c r="H297" i="1" s="1"/>
  <c r="N297" i="1" l="1"/>
  <c r="I298" i="1" s="1"/>
  <c r="J297" i="1"/>
  <c r="K297" i="1" s="1"/>
  <c r="L297" i="1" s="1"/>
  <c r="G298" i="1" s="1"/>
  <c r="M297" i="1" l="1"/>
  <c r="H298" i="1" s="1"/>
  <c r="J298" i="1" l="1"/>
  <c r="K298" i="1" s="1"/>
  <c r="L298" i="1" s="1"/>
  <c r="G299" i="1" s="1"/>
  <c r="N298" i="1"/>
  <c r="I299" i="1" s="1"/>
  <c r="M298" i="1" l="1"/>
  <c r="H299" i="1" s="1"/>
  <c r="J299" i="1" l="1"/>
  <c r="K299" i="1" s="1"/>
  <c r="L299" i="1" s="1"/>
  <c r="G300" i="1" s="1"/>
  <c r="N299" i="1"/>
  <c r="I300" i="1" s="1"/>
  <c r="M299" i="1" l="1"/>
  <c r="H300" i="1" s="1"/>
  <c r="N300" i="1" l="1"/>
  <c r="I301" i="1" s="1"/>
  <c r="J300" i="1"/>
  <c r="K300" i="1" s="1"/>
  <c r="L300" i="1" s="1"/>
  <c r="G301" i="1" s="1"/>
  <c r="M300" i="1" l="1"/>
  <c r="H301" i="1" s="1"/>
  <c r="J301" i="1" l="1"/>
  <c r="K301" i="1" s="1"/>
  <c r="L301" i="1" s="1"/>
  <c r="G302" i="1" s="1"/>
  <c r="N301" i="1"/>
  <c r="I302" i="1" s="1"/>
  <c r="M301" i="1" l="1"/>
  <c r="H302" i="1" s="1"/>
  <c r="J302" i="1" l="1"/>
  <c r="K302" i="1" s="1"/>
  <c r="L302" i="1" s="1"/>
  <c r="G303" i="1" s="1"/>
  <c r="N302" i="1"/>
  <c r="I303" i="1" s="1"/>
  <c r="M302" i="1" l="1"/>
  <c r="H303" i="1" s="1"/>
  <c r="N303" i="1" l="1"/>
  <c r="I304" i="1" s="1"/>
  <c r="J303" i="1"/>
  <c r="K303" i="1" s="1"/>
  <c r="L303" i="1" s="1"/>
  <c r="G304" i="1" s="1"/>
  <c r="M303" i="1" l="1"/>
  <c r="H304" i="1" s="1"/>
  <c r="N304" i="1" l="1"/>
  <c r="I305" i="1" s="1"/>
  <c r="J304" i="1"/>
  <c r="K304" i="1" s="1"/>
  <c r="L304" i="1" s="1"/>
  <c r="G305" i="1" s="1"/>
  <c r="M304" i="1" l="1"/>
  <c r="H305" i="1" s="1"/>
  <c r="J305" i="1" l="1"/>
  <c r="K305" i="1" s="1"/>
  <c r="L305" i="1" s="1"/>
  <c r="G306" i="1" s="1"/>
  <c r="N305" i="1"/>
  <c r="I306" i="1" s="1"/>
  <c r="M305" i="1" l="1"/>
  <c r="H306" i="1" s="1"/>
  <c r="N306" i="1" s="1"/>
  <c r="I307" i="1" s="1"/>
  <c r="J306" i="1" l="1"/>
  <c r="K306" i="1" s="1"/>
  <c r="L306" i="1" s="1"/>
  <c r="G307" i="1" s="1"/>
  <c r="M306" i="1" l="1"/>
  <c r="H307" i="1" s="1"/>
  <c r="N307" i="1" s="1"/>
  <c r="I308" i="1" s="1"/>
  <c r="J307" i="1" l="1"/>
  <c r="K307" i="1" s="1"/>
  <c r="L307" i="1" s="1"/>
  <c r="G308" i="1" s="1"/>
  <c r="M307" i="1" l="1"/>
  <c r="H308" i="1" s="1"/>
  <c r="J308" i="1" s="1"/>
  <c r="K308" i="1" s="1"/>
  <c r="L308" i="1" s="1"/>
  <c r="G309" i="1" s="1"/>
  <c r="N308" i="1" l="1"/>
  <c r="I309" i="1" s="1"/>
  <c r="M308" i="1"/>
  <c r="H309" i="1" s="1"/>
  <c r="N309" i="1" l="1"/>
  <c r="I310" i="1" s="1"/>
  <c r="J309" i="1"/>
  <c r="K309" i="1" s="1"/>
  <c r="L309" i="1" s="1"/>
  <c r="G310" i="1" s="1"/>
  <c r="M309" i="1" l="1"/>
  <c r="H310" i="1" s="1"/>
  <c r="N310" i="1" l="1"/>
  <c r="I311" i="1" s="1"/>
  <c r="J310" i="1"/>
  <c r="K310" i="1" s="1"/>
  <c r="L310" i="1" s="1"/>
  <c r="G311" i="1" s="1"/>
  <c r="M310" i="1" l="1"/>
  <c r="H311" i="1" s="1"/>
  <c r="N311" i="1" l="1"/>
  <c r="I312" i="1" s="1"/>
  <c r="J311" i="1"/>
  <c r="K311" i="1" s="1"/>
  <c r="L311" i="1" s="1"/>
  <c r="G312" i="1" s="1"/>
  <c r="M311" i="1" l="1"/>
  <c r="H312" i="1" s="1"/>
  <c r="J312" i="1" l="1"/>
  <c r="K312" i="1" s="1"/>
  <c r="L312" i="1" s="1"/>
  <c r="G313" i="1" s="1"/>
  <c r="N312" i="1"/>
  <c r="I313" i="1" s="1"/>
  <c r="M312" i="1" l="1"/>
  <c r="H313" i="1" s="1"/>
  <c r="J313" i="1" l="1"/>
  <c r="K313" i="1" s="1"/>
  <c r="L313" i="1" s="1"/>
  <c r="G314" i="1" s="1"/>
  <c r="N313" i="1"/>
  <c r="I314" i="1" s="1"/>
  <c r="M313" i="1" l="1"/>
  <c r="H314" i="1" s="1"/>
  <c r="J314" i="1" l="1"/>
  <c r="K314" i="1" s="1"/>
  <c r="L314" i="1" s="1"/>
  <c r="G315" i="1" s="1"/>
  <c r="N314" i="1"/>
  <c r="I315" i="1" s="1"/>
  <c r="M314" i="1" l="1"/>
  <c r="H315" i="1" s="1"/>
  <c r="J315" i="1" l="1"/>
  <c r="K315" i="1" s="1"/>
  <c r="L315" i="1" s="1"/>
  <c r="G316" i="1" s="1"/>
  <c r="N315" i="1"/>
  <c r="I316" i="1" s="1"/>
  <c r="M315" i="1" l="1"/>
  <c r="H316" i="1" s="1"/>
  <c r="N316" i="1" l="1"/>
  <c r="I317" i="1" s="1"/>
  <c r="J316" i="1"/>
  <c r="K316" i="1" s="1"/>
  <c r="L316" i="1" s="1"/>
  <c r="G317" i="1" s="1"/>
  <c r="M316" i="1" l="1"/>
  <c r="H317" i="1" s="1"/>
  <c r="N317" i="1"/>
  <c r="I318" i="1" s="1"/>
  <c r="J317" i="1"/>
  <c r="K317" i="1" s="1"/>
  <c r="L317" i="1" s="1"/>
  <c r="G318" i="1" s="1"/>
  <c r="M317" i="1" l="1"/>
  <c r="H318" i="1" s="1"/>
  <c r="N318" i="1" l="1"/>
  <c r="I319" i="1" s="1"/>
  <c r="J318" i="1"/>
  <c r="K318" i="1" s="1"/>
  <c r="L318" i="1" s="1"/>
  <c r="G319" i="1" s="1"/>
  <c r="M318" i="1" l="1"/>
  <c r="H319" i="1" s="1"/>
  <c r="N319" i="1" l="1"/>
  <c r="I320" i="1" s="1"/>
  <c r="J319" i="1"/>
  <c r="K319" i="1" s="1"/>
  <c r="L319" i="1" s="1"/>
  <c r="G320" i="1" s="1"/>
  <c r="M319" i="1" l="1"/>
  <c r="H320" i="1" s="1"/>
  <c r="N320" i="1" l="1"/>
  <c r="I321" i="1" s="1"/>
  <c r="J320" i="1"/>
  <c r="K320" i="1" s="1"/>
  <c r="L320" i="1" s="1"/>
  <c r="G321" i="1" s="1"/>
  <c r="M320" i="1" l="1"/>
  <c r="H321" i="1" s="1"/>
  <c r="J321" i="1" l="1"/>
  <c r="K321" i="1" s="1"/>
  <c r="L321" i="1" s="1"/>
  <c r="G322" i="1" s="1"/>
  <c r="N321" i="1"/>
  <c r="I322" i="1" s="1"/>
  <c r="M321" i="1" l="1"/>
  <c r="H322" i="1" s="1"/>
  <c r="J322" i="1" l="1"/>
  <c r="K322" i="1" s="1"/>
  <c r="L322" i="1" s="1"/>
  <c r="G323" i="1" s="1"/>
  <c r="N322" i="1"/>
  <c r="I323" i="1" s="1"/>
  <c r="M322" i="1" l="1"/>
  <c r="H323" i="1" s="1"/>
  <c r="J323" i="1" l="1"/>
  <c r="K323" i="1" s="1"/>
  <c r="L323" i="1" s="1"/>
  <c r="G324" i="1" s="1"/>
  <c r="N323" i="1"/>
  <c r="I324" i="1" s="1"/>
  <c r="M323" i="1" l="1"/>
  <c r="H324" i="1" s="1"/>
  <c r="J324" i="1" l="1"/>
  <c r="K324" i="1" s="1"/>
  <c r="L324" i="1" s="1"/>
  <c r="G325" i="1" s="1"/>
  <c r="N324" i="1"/>
  <c r="I325" i="1" s="1"/>
  <c r="M324" i="1" l="1"/>
  <c r="H325" i="1" s="1"/>
  <c r="N325" i="1" s="1"/>
  <c r="I326" i="1" s="1"/>
  <c r="J325" i="1" l="1"/>
  <c r="K325" i="1" s="1"/>
  <c r="L325" i="1" s="1"/>
  <c r="G326" i="1" s="1"/>
  <c r="M325" i="1"/>
  <c r="H326" i="1" s="1"/>
  <c r="N326" i="1" s="1"/>
  <c r="I327" i="1" s="1"/>
  <c r="J326" i="1" l="1"/>
  <c r="K326" i="1" s="1"/>
  <c r="L326" i="1" s="1"/>
  <c r="G327" i="1" s="1"/>
  <c r="M326" i="1" l="1"/>
  <c r="H327" i="1" s="1"/>
  <c r="N327" i="1" s="1"/>
  <c r="I328" i="1" s="1"/>
  <c r="J327" i="1" l="1"/>
  <c r="K327" i="1" s="1"/>
  <c r="L327" i="1" s="1"/>
  <c r="G328" i="1" s="1"/>
  <c r="M327" i="1" l="1"/>
  <c r="H328" i="1" s="1"/>
  <c r="J328" i="1" s="1"/>
  <c r="K328" i="1" s="1"/>
  <c r="L328" i="1" s="1"/>
  <c r="G329" i="1" s="1"/>
  <c r="N328" i="1"/>
  <c r="I329" i="1" s="1"/>
  <c r="M328" i="1" l="1"/>
  <c r="H329" i="1" s="1"/>
  <c r="N329" i="1" l="1"/>
  <c r="I330" i="1" s="1"/>
  <c r="J329" i="1"/>
  <c r="K329" i="1" s="1"/>
  <c r="L329" i="1" s="1"/>
  <c r="G330" i="1" s="1"/>
  <c r="M329" i="1" l="1"/>
  <c r="H330" i="1" s="1"/>
  <c r="J330" i="1" l="1"/>
  <c r="K330" i="1" s="1"/>
  <c r="L330" i="1" s="1"/>
  <c r="G331" i="1" s="1"/>
  <c r="N330" i="1"/>
  <c r="I331" i="1" s="1"/>
  <c r="M330" i="1" l="1"/>
  <c r="H331" i="1" s="1"/>
  <c r="J331" i="1" s="1"/>
  <c r="K331" i="1" s="1"/>
  <c r="N331" i="1" l="1"/>
  <c r="I332" i="1" s="1"/>
  <c r="L331" i="1"/>
  <c r="G332" i="1" s="1"/>
  <c r="M331" i="1"/>
  <c r="H332" i="1" s="1"/>
  <c r="J332" i="1" s="1"/>
  <c r="K332" i="1" s="1"/>
  <c r="L332" i="1" s="1"/>
  <c r="G333" i="1" s="1"/>
  <c r="N332" i="1" l="1"/>
  <c r="I333" i="1" s="1"/>
  <c r="M332" i="1"/>
  <c r="H333" i="1" s="1"/>
  <c r="J333" i="1" l="1"/>
  <c r="K333" i="1" s="1"/>
  <c r="L333" i="1" s="1"/>
  <c r="G334" i="1" s="1"/>
  <c r="N333" i="1"/>
  <c r="I334" i="1" s="1"/>
  <c r="M333" i="1" l="1"/>
  <c r="H334" i="1" s="1"/>
  <c r="N334" i="1" s="1"/>
  <c r="I335" i="1" s="1"/>
  <c r="J334" i="1" l="1"/>
  <c r="K334" i="1" s="1"/>
  <c r="L334" i="1" s="1"/>
  <c r="G335" i="1" s="1"/>
  <c r="M334" i="1" l="1"/>
  <c r="H335" i="1" s="1"/>
  <c r="N335" i="1" s="1"/>
  <c r="I336" i="1" s="1"/>
  <c r="J335" i="1" l="1"/>
  <c r="K335" i="1" s="1"/>
  <c r="L335" i="1" s="1"/>
  <c r="G336" i="1" s="1"/>
  <c r="M335" i="1" l="1"/>
  <c r="H336" i="1" s="1"/>
  <c r="J336" i="1" s="1"/>
  <c r="K336" i="1" s="1"/>
  <c r="L336" i="1" s="1"/>
  <c r="G337" i="1" s="1"/>
  <c r="M336" i="1" l="1"/>
  <c r="H337" i="1" s="1"/>
  <c r="N336" i="1"/>
  <c r="I337" i="1" s="1"/>
  <c r="N337" i="1" l="1"/>
  <c r="I338" i="1" s="1"/>
  <c r="J337" i="1"/>
  <c r="K337" i="1" s="1"/>
  <c r="L337" i="1" s="1"/>
  <c r="G338" i="1" s="1"/>
  <c r="M337" i="1" l="1"/>
  <c r="H338" i="1" s="1"/>
  <c r="N338" i="1" s="1"/>
  <c r="I339" i="1" s="1"/>
  <c r="J338" i="1" l="1"/>
  <c r="K338" i="1" s="1"/>
  <c r="L338" i="1" s="1"/>
  <c r="G339" i="1" s="1"/>
  <c r="M338" i="1" l="1"/>
  <c r="H339" i="1" s="1"/>
  <c r="J339" i="1" s="1"/>
  <c r="K339" i="1" s="1"/>
  <c r="L339" i="1" s="1"/>
  <c r="G340" i="1" s="1"/>
  <c r="N339" i="1" l="1"/>
  <c r="I340" i="1" s="1"/>
  <c r="M339" i="1"/>
  <c r="H340" i="1" s="1"/>
  <c r="J340" i="1" l="1"/>
  <c r="K340" i="1" s="1"/>
  <c r="L340" i="1" s="1"/>
  <c r="G341" i="1" s="1"/>
  <c r="N340" i="1"/>
  <c r="I341" i="1" s="1"/>
  <c r="M340" i="1" l="1"/>
  <c r="H341" i="1" s="1"/>
  <c r="J341" i="1" l="1"/>
  <c r="K341" i="1" s="1"/>
  <c r="L341" i="1" s="1"/>
  <c r="G342" i="1" s="1"/>
  <c r="N341" i="1"/>
  <c r="I342" i="1" s="1"/>
  <c r="M341" i="1" l="1"/>
  <c r="H342" i="1" s="1"/>
  <c r="J342" i="1" l="1"/>
  <c r="K342" i="1" s="1"/>
  <c r="L342" i="1" s="1"/>
  <c r="G343" i="1" s="1"/>
  <c r="N342" i="1"/>
  <c r="I343" i="1" s="1"/>
  <c r="M342" i="1" l="1"/>
  <c r="H343" i="1" s="1"/>
  <c r="N343" i="1" l="1"/>
  <c r="I344" i="1" s="1"/>
  <c r="J343" i="1"/>
  <c r="K343" i="1" s="1"/>
  <c r="L343" i="1" s="1"/>
  <c r="G344" i="1" s="1"/>
  <c r="M343" i="1" l="1"/>
  <c r="H344" i="1" s="1"/>
  <c r="N344" i="1" l="1"/>
  <c r="I345" i="1" s="1"/>
  <c r="J344" i="1"/>
  <c r="K344" i="1" s="1"/>
  <c r="L344" i="1" s="1"/>
  <c r="G345" i="1" s="1"/>
  <c r="M344" i="1" l="1"/>
  <c r="H345" i="1" s="1"/>
  <c r="N345" i="1" l="1"/>
  <c r="I346" i="1" s="1"/>
  <c r="J345" i="1"/>
  <c r="K345" i="1" s="1"/>
  <c r="L345" i="1" s="1"/>
  <c r="G346" i="1" s="1"/>
  <c r="M345" i="1" l="1"/>
  <c r="H346" i="1" s="1"/>
  <c r="N346" i="1" l="1"/>
  <c r="I347" i="1" s="1"/>
  <c r="J346" i="1"/>
  <c r="K346" i="1" s="1"/>
  <c r="L346" i="1" s="1"/>
  <c r="G347" i="1" s="1"/>
  <c r="M346" i="1" l="1"/>
  <c r="H347" i="1" s="1"/>
  <c r="N347" i="1" l="1"/>
  <c r="I348" i="1" s="1"/>
  <c r="J347" i="1"/>
  <c r="K347" i="1" s="1"/>
  <c r="L347" i="1" s="1"/>
  <c r="G348" i="1" s="1"/>
  <c r="M347" i="1" l="1"/>
  <c r="H348" i="1" s="1"/>
  <c r="J348" i="1" l="1"/>
  <c r="K348" i="1" s="1"/>
  <c r="L348" i="1" s="1"/>
  <c r="G349" i="1" s="1"/>
  <c r="N348" i="1"/>
  <c r="I349" i="1" s="1"/>
  <c r="M348" i="1" l="1"/>
  <c r="H349" i="1" s="1"/>
  <c r="J349" i="1" l="1"/>
  <c r="K349" i="1" s="1"/>
  <c r="L349" i="1" s="1"/>
  <c r="G350" i="1" s="1"/>
  <c r="N349" i="1"/>
  <c r="I350" i="1" s="1"/>
  <c r="M349" i="1" l="1"/>
  <c r="H350" i="1" s="1"/>
  <c r="J350" i="1" l="1"/>
  <c r="K350" i="1" s="1"/>
  <c r="L350" i="1" s="1"/>
  <c r="G351" i="1" s="1"/>
  <c r="N350" i="1"/>
  <c r="I351" i="1" s="1"/>
  <c r="M350" i="1" l="1"/>
  <c r="H351" i="1" s="1"/>
  <c r="J351" i="1" l="1"/>
  <c r="K351" i="1" s="1"/>
  <c r="L351" i="1" s="1"/>
  <c r="G352" i="1" s="1"/>
  <c r="N351" i="1"/>
  <c r="I352" i="1" s="1"/>
  <c r="M351" i="1" l="1"/>
  <c r="H352" i="1" s="1"/>
  <c r="N352" i="1" l="1"/>
  <c r="I353" i="1" s="1"/>
  <c r="J352" i="1"/>
  <c r="K352" i="1" s="1"/>
  <c r="L352" i="1" s="1"/>
  <c r="G353" i="1" s="1"/>
  <c r="M352" i="1" l="1"/>
  <c r="H353" i="1" s="1"/>
  <c r="N353" i="1" l="1"/>
  <c r="I354" i="1" s="1"/>
  <c r="J353" i="1"/>
  <c r="K353" i="1" s="1"/>
  <c r="L353" i="1" s="1"/>
  <c r="G354" i="1" s="1"/>
  <c r="M353" i="1" l="1"/>
  <c r="H354" i="1" s="1"/>
  <c r="N354" i="1" l="1"/>
  <c r="I355" i="1" s="1"/>
  <c r="J354" i="1"/>
  <c r="K354" i="1" s="1"/>
  <c r="L354" i="1" s="1"/>
  <c r="G355" i="1" s="1"/>
  <c r="M354" i="1" l="1"/>
  <c r="H355" i="1" s="1"/>
  <c r="N355" i="1" l="1"/>
  <c r="I356" i="1" s="1"/>
  <c r="J355" i="1"/>
  <c r="K355" i="1" s="1"/>
  <c r="L355" i="1" s="1"/>
  <c r="G356" i="1" s="1"/>
  <c r="M355" i="1" l="1"/>
  <c r="H356" i="1" s="1"/>
  <c r="N356" i="1" l="1"/>
  <c r="I357" i="1" s="1"/>
  <c r="J356" i="1"/>
  <c r="K356" i="1" s="1"/>
  <c r="L356" i="1" s="1"/>
  <c r="G357" i="1" s="1"/>
  <c r="M356" i="1" l="1"/>
  <c r="H357" i="1" s="1"/>
  <c r="J357" i="1" l="1"/>
  <c r="K357" i="1" s="1"/>
  <c r="L357" i="1" s="1"/>
  <c r="G358" i="1" s="1"/>
  <c r="N357" i="1"/>
  <c r="I358" i="1" s="1"/>
  <c r="M357" i="1" l="1"/>
  <c r="H358" i="1" s="1"/>
  <c r="J358" i="1" l="1"/>
  <c r="K358" i="1" s="1"/>
  <c r="L358" i="1" s="1"/>
  <c r="G359" i="1" s="1"/>
  <c r="N358" i="1"/>
  <c r="I359" i="1" s="1"/>
  <c r="M358" i="1" l="1"/>
  <c r="H359" i="1" s="1"/>
  <c r="J359" i="1" l="1"/>
  <c r="K359" i="1" s="1"/>
  <c r="L359" i="1" s="1"/>
  <c r="G360" i="1" s="1"/>
  <c r="N359" i="1"/>
  <c r="I360" i="1" s="1"/>
  <c r="M359" i="1" l="1"/>
  <c r="H360" i="1" s="1"/>
  <c r="J360" i="1" l="1"/>
  <c r="K360" i="1" s="1"/>
  <c r="L360" i="1" s="1"/>
  <c r="G361" i="1" s="1"/>
  <c r="N360" i="1"/>
  <c r="I361" i="1" s="1"/>
  <c r="M360" i="1" l="1"/>
  <c r="H361" i="1" s="1"/>
  <c r="N361" i="1" l="1"/>
  <c r="I362" i="1" s="1"/>
  <c r="J361" i="1"/>
  <c r="K361" i="1" s="1"/>
  <c r="L361" i="1" s="1"/>
  <c r="G362" i="1" s="1"/>
  <c r="M361" i="1" l="1"/>
  <c r="H362" i="1" s="1"/>
  <c r="N362" i="1" l="1"/>
  <c r="I363" i="1" s="1"/>
  <c r="J362" i="1"/>
  <c r="K362" i="1" s="1"/>
  <c r="L362" i="1" s="1"/>
  <c r="G363" i="1" s="1"/>
  <c r="M362" i="1" l="1"/>
  <c r="H363" i="1" s="1"/>
  <c r="N363" i="1" l="1"/>
  <c r="I364" i="1" s="1"/>
  <c r="J363" i="1"/>
  <c r="K363" i="1" s="1"/>
  <c r="L363" i="1" s="1"/>
  <c r="G364" i="1" s="1"/>
  <c r="M363" i="1" l="1"/>
  <c r="H364" i="1" s="1"/>
  <c r="N364" i="1" l="1"/>
  <c r="I365" i="1" s="1"/>
  <c r="J364" i="1"/>
  <c r="K364" i="1" s="1"/>
  <c r="L364" i="1" s="1"/>
  <c r="G365" i="1" s="1"/>
  <c r="M364" i="1" l="1"/>
  <c r="H365" i="1" s="1"/>
  <c r="N365" i="1" l="1"/>
  <c r="I366" i="1" s="1"/>
  <c r="J365" i="1"/>
  <c r="K365" i="1" s="1"/>
  <c r="L365" i="1" s="1"/>
  <c r="G366" i="1" s="1"/>
  <c r="M365" i="1" l="1"/>
  <c r="H366" i="1" s="1"/>
  <c r="J366" i="1" l="1"/>
  <c r="K366" i="1" s="1"/>
  <c r="L366" i="1" s="1"/>
  <c r="G367" i="1" s="1"/>
  <c r="N366" i="1"/>
  <c r="I367" i="1" s="1"/>
  <c r="M366" i="1" l="1"/>
  <c r="H367" i="1" s="1"/>
  <c r="J367" i="1" l="1"/>
  <c r="K367" i="1" s="1"/>
  <c r="L367" i="1" s="1"/>
  <c r="G368" i="1" s="1"/>
  <c r="N367" i="1"/>
  <c r="I368" i="1" s="1"/>
  <c r="M367" i="1" l="1"/>
  <c r="H368" i="1" s="1"/>
  <c r="J368" i="1" l="1"/>
  <c r="K368" i="1" s="1"/>
  <c r="L368" i="1" s="1"/>
  <c r="G369" i="1" s="1"/>
  <c r="N368" i="1"/>
  <c r="I369" i="1" s="1"/>
  <c r="M368" i="1" l="1"/>
  <c r="H369" i="1" s="1"/>
  <c r="J369" i="1" l="1"/>
  <c r="K369" i="1" s="1"/>
  <c r="L369" i="1" s="1"/>
  <c r="G370" i="1" s="1"/>
  <c r="N369" i="1"/>
  <c r="I370" i="1" s="1"/>
  <c r="M369" i="1" l="1"/>
  <c r="H370" i="1" s="1"/>
  <c r="N370" i="1" l="1"/>
  <c r="I371" i="1" s="1"/>
  <c r="J370" i="1"/>
  <c r="K370" i="1" s="1"/>
  <c r="L370" i="1" s="1"/>
  <c r="G371" i="1" s="1"/>
  <c r="M370" i="1" l="1"/>
  <c r="H371" i="1" s="1"/>
  <c r="N371" i="1" l="1"/>
  <c r="I372" i="1" s="1"/>
  <c r="J371" i="1"/>
  <c r="K371" i="1" s="1"/>
  <c r="L371" i="1" s="1"/>
  <c r="G372" i="1" s="1"/>
  <c r="M371" i="1" l="1"/>
  <c r="H372" i="1" s="1"/>
  <c r="N372" i="1" l="1"/>
  <c r="I373" i="1" s="1"/>
  <c r="J372" i="1"/>
  <c r="K372" i="1" s="1"/>
  <c r="L372" i="1" s="1"/>
  <c r="G373" i="1" s="1"/>
  <c r="M372" i="1" l="1"/>
  <c r="H373" i="1" s="1"/>
  <c r="N373" i="1" l="1"/>
  <c r="I374" i="1" s="1"/>
  <c r="J373" i="1"/>
  <c r="K373" i="1" s="1"/>
  <c r="L373" i="1" s="1"/>
  <c r="G374" i="1" s="1"/>
  <c r="M373" i="1" l="1"/>
  <c r="H374" i="1" s="1"/>
  <c r="N374" i="1" l="1"/>
  <c r="I375" i="1" s="1"/>
  <c r="J374" i="1"/>
  <c r="K374" i="1" s="1"/>
  <c r="L374" i="1" s="1"/>
  <c r="G375" i="1" s="1"/>
  <c r="M374" i="1" l="1"/>
  <c r="H375" i="1" s="1"/>
  <c r="J375" i="1" l="1"/>
  <c r="K375" i="1" s="1"/>
  <c r="L375" i="1" s="1"/>
  <c r="G376" i="1" s="1"/>
  <c r="N375" i="1"/>
  <c r="I376" i="1" s="1"/>
  <c r="M375" i="1" l="1"/>
  <c r="H376" i="1" s="1"/>
  <c r="J376" i="1" l="1"/>
  <c r="K376" i="1" s="1"/>
  <c r="L376" i="1" s="1"/>
  <c r="G377" i="1" s="1"/>
  <c r="N376" i="1"/>
  <c r="I377" i="1" s="1"/>
  <c r="M376" i="1" l="1"/>
  <c r="H377" i="1" s="1"/>
  <c r="J377" i="1" l="1"/>
  <c r="K377" i="1" s="1"/>
  <c r="L377" i="1" s="1"/>
  <c r="G378" i="1" s="1"/>
  <c r="N377" i="1"/>
  <c r="I378" i="1" s="1"/>
  <c r="M377" i="1" l="1"/>
  <c r="H378" i="1" s="1"/>
  <c r="J378" i="1" l="1"/>
  <c r="K378" i="1" s="1"/>
  <c r="L378" i="1" s="1"/>
  <c r="G379" i="1" s="1"/>
  <c r="N378" i="1"/>
  <c r="I379" i="1" s="1"/>
  <c r="M378" i="1" l="1"/>
  <c r="H379" i="1" s="1"/>
  <c r="N379" i="1" l="1"/>
  <c r="I380" i="1" s="1"/>
  <c r="J379" i="1"/>
  <c r="K379" i="1" s="1"/>
  <c r="L379" i="1" s="1"/>
  <c r="G380" i="1" s="1"/>
  <c r="M379" i="1" l="1"/>
  <c r="H380" i="1" s="1"/>
  <c r="N380" i="1" l="1"/>
  <c r="I381" i="1" s="1"/>
  <c r="J380" i="1"/>
  <c r="K380" i="1" s="1"/>
  <c r="L380" i="1" s="1"/>
  <c r="G381" i="1" s="1"/>
  <c r="M380" i="1" l="1"/>
  <c r="H381" i="1" s="1"/>
  <c r="N381" i="1" l="1"/>
  <c r="I382" i="1" s="1"/>
  <c r="J381" i="1"/>
  <c r="K381" i="1" s="1"/>
  <c r="L381" i="1" s="1"/>
  <c r="G382" i="1" s="1"/>
  <c r="M381" i="1" l="1"/>
  <c r="H382" i="1" s="1"/>
  <c r="N382" i="1" l="1"/>
  <c r="I383" i="1" s="1"/>
  <c r="J382" i="1"/>
  <c r="K382" i="1" s="1"/>
  <c r="L382" i="1" s="1"/>
  <c r="G383" i="1" s="1"/>
  <c r="M382" i="1" l="1"/>
  <c r="H383" i="1" s="1"/>
  <c r="N383" i="1" l="1"/>
  <c r="I384" i="1" s="1"/>
  <c r="J383" i="1"/>
  <c r="K383" i="1" s="1"/>
  <c r="L383" i="1" s="1"/>
  <c r="G384" i="1" s="1"/>
  <c r="M383" i="1" l="1"/>
  <c r="H384" i="1" s="1"/>
  <c r="J384" i="1" l="1"/>
  <c r="K384" i="1" s="1"/>
  <c r="L384" i="1" s="1"/>
  <c r="G385" i="1" s="1"/>
  <c r="N384" i="1"/>
  <c r="I385" i="1" s="1"/>
  <c r="M384" i="1" l="1"/>
  <c r="H385" i="1" s="1"/>
  <c r="J385" i="1" l="1"/>
  <c r="K385" i="1" s="1"/>
  <c r="L385" i="1" s="1"/>
  <c r="G386" i="1" s="1"/>
  <c r="N385" i="1"/>
  <c r="I386" i="1" s="1"/>
  <c r="M385" i="1" l="1"/>
  <c r="H386" i="1" s="1"/>
  <c r="J386" i="1" l="1"/>
  <c r="K386" i="1" s="1"/>
  <c r="L386" i="1" s="1"/>
  <c r="G387" i="1" s="1"/>
  <c r="N386" i="1"/>
  <c r="I387" i="1" s="1"/>
  <c r="M386" i="1" l="1"/>
  <c r="H387" i="1" s="1"/>
  <c r="J387" i="1" l="1"/>
  <c r="K387" i="1" s="1"/>
  <c r="L387" i="1" s="1"/>
  <c r="G388" i="1" s="1"/>
  <c r="N387" i="1"/>
  <c r="I388" i="1" s="1"/>
  <c r="M387" i="1" l="1"/>
  <c r="H388" i="1" s="1"/>
  <c r="N388" i="1" l="1"/>
  <c r="I389" i="1" s="1"/>
  <c r="J388" i="1"/>
  <c r="K388" i="1" s="1"/>
  <c r="L388" i="1" s="1"/>
  <c r="G389" i="1" s="1"/>
  <c r="M388" i="1" l="1"/>
  <c r="H389" i="1" s="1"/>
  <c r="N389" i="1" l="1"/>
  <c r="I390" i="1" s="1"/>
  <c r="J389" i="1"/>
  <c r="K389" i="1" s="1"/>
  <c r="L389" i="1" s="1"/>
  <c r="G390" i="1" s="1"/>
  <c r="M389" i="1" l="1"/>
  <c r="H390" i="1" s="1"/>
  <c r="N390" i="1" l="1"/>
  <c r="I391" i="1" s="1"/>
  <c r="J390" i="1"/>
  <c r="K390" i="1" s="1"/>
  <c r="L390" i="1" s="1"/>
  <c r="G391" i="1" s="1"/>
  <c r="M390" i="1" l="1"/>
  <c r="H391" i="1" s="1"/>
  <c r="N391" i="1" l="1"/>
  <c r="I392" i="1" s="1"/>
  <c r="J391" i="1"/>
  <c r="K391" i="1" s="1"/>
  <c r="L391" i="1" s="1"/>
  <c r="G392" i="1" s="1"/>
  <c r="M391" i="1" l="1"/>
  <c r="H392" i="1" s="1"/>
  <c r="N392" i="1" l="1"/>
  <c r="I393" i="1" s="1"/>
  <c r="J392" i="1"/>
  <c r="K392" i="1" s="1"/>
  <c r="L392" i="1" s="1"/>
  <c r="G393" i="1" s="1"/>
  <c r="M392" i="1" l="1"/>
  <c r="H393" i="1" s="1"/>
  <c r="J393" i="1" l="1"/>
  <c r="K393" i="1" s="1"/>
  <c r="L393" i="1" s="1"/>
  <c r="G394" i="1" s="1"/>
  <c r="N393" i="1"/>
  <c r="I394" i="1" s="1"/>
  <c r="M393" i="1" l="1"/>
  <c r="H394" i="1" s="1"/>
  <c r="J394" i="1" l="1"/>
  <c r="K394" i="1" s="1"/>
  <c r="L394" i="1" s="1"/>
  <c r="G395" i="1" s="1"/>
  <c r="N394" i="1"/>
  <c r="I395" i="1" s="1"/>
  <c r="M394" i="1" l="1"/>
  <c r="H395" i="1" s="1"/>
  <c r="J395" i="1" l="1"/>
  <c r="K395" i="1" s="1"/>
  <c r="L395" i="1" s="1"/>
  <c r="G396" i="1" s="1"/>
  <c r="N395" i="1"/>
  <c r="I396" i="1" s="1"/>
  <c r="M395" i="1" l="1"/>
  <c r="H396" i="1" s="1"/>
  <c r="J396" i="1" l="1"/>
  <c r="K396" i="1" s="1"/>
  <c r="L396" i="1" s="1"/>
  <c r="G397" i="1" s="1"/>
  <c r="N396" i="1"/>
  <c r="I397" i="1" s="1"/>
  <c r="M396" i="1" l="1"/>
  <c r="H397" i="1" s="1"/>
  <c r="N397" i="1" l="1"/>
  <c r="I398" i="1" s="1"/>
  <c r="J397" i="1"/>
  <c r="K397" i="1" s="1"/>
  <c r="L397" i="1" s="1"/>
  <c r="G398" i="1" s="1"/>
  <c r="M397" i="1" l="1"/>
  <c r="H398" i="1" s="1"/>
  <c r="N398" i="1" l="1"/>
  <c r="I399" i="1" s="1"/>
  <c r="J398" i="1"/>
  <c r="K398" i="1" s="1"/>
  <c r="L398" i="1" s="1"/>
  <c r="G399" i="1" s="1"/>
  <c r="M398" i="1" l="1"/>
  <c r="H399" i="1" s="1"/>
  <c r="N399" i="1" l="1"/>
  <c r="I400" i="1" s="1"/>
  <c r="J399" i="1"/>
  <c r="K399" i="1" s="1"/>
  <c r="L399" i="1" s="1"/>
  <c r="G400" i="1" s="1"/>
  <c r="M399" i="1" l="1"/>
  <c r="H400" i="1" s="1"/>
  <c r="N400" i="1" l="1"/>
  <c r="I401" i="1" s="1"/>
  <c r="J400" i="1"/>
  <c r="K400" i="1" s="1"/>
  <c r="L400" i="1" s="1"/>
  <c r="G401" i="1" s="1"/>
  <c r="M400" i="1" l="1"/>
  <c r="H401" i="1" s="1"/>
  <c r="N401" i="1" l="1"/>
  <c r="I402" i="1" s="1"/>
  <c r="J401" i="1"/>
  <c r="K401" i="1" s="1"/>
  <c r="L401" i="1" s="1"/>
  <c r="G402" i="1" s="1"/>
  <c r="M401" i="1" l="1"/>
  <c r="H402" i="1" s="1"/>
  <c r="J402" i="1" l="1"/>
  <c r="K402" i="1" s="1"/>
  <c r="L402" i="1" s="1"/>
  <c r="G403" i="1" s="1"/>
  <c r="N402" i="1"/>
  <c r="I403" i="1" s="1"/>
  <c r="M402" i="1" l="1"/>
  <c r="H403" i="1" s="1"/>
  <c r="J403" i="1" l="1"/>
  <c r="K403" i="1" s="1"/>
  <c r="L403" i="1" s="1"/>
  <c r="G404" i="1" s="1"/>
  <c r="N403" i="1"/>
  <c r="I404" i="1" s="1"/>
  <c r="M403" i="1" l="1"/>
  <c r="H404" i="1" s="1"/>
  <c r="J404" i="1" l="1"/>
  <c r="K404" i="1" s="1"/>
  <c r="L404" i="1" s="1"/>
  <c r="G405" i="1" s="1"/>
  <c r="N404" i="1"/>
  <c r="I405" i="1" s="1"/>
  <c r="M404" i="1" l="1"/>
  <c r="H405" i="1" s="1"/>
  <c r="J405" i="1" l="1"/>
  <c r="K405" i="1" s="1"/>
  <c r="L405" i="1" s="1"/>
  <c r="G406" i="1" s="1"/>
  <c r="N405" i="1"/>
  <c r="I406" i="1" s="1"/>
  <c r="M405" i="1" l="1"/>
  <c r="H406" i="1" s="1"/>
  <c r="N406" i="1" l="1"/>
  <c r="I407" i="1" s="1"/>
  <c r="J406" i="1"/>
  <c r="K406" i="1" s="1"/>
  <c r="L406" i="1" s="1"/>
  <c r="G407" i="1" s="1"/>
  <c r="M406" i="1" l="1"/>
  <c r="H407" i="1" s="1"/>
  <c r="N407" i="1" l="1"/>
  <c r="I408" i="1" s="1"/>
  <c r="J407" i="1"/>
  <c r="K407" i="1" s="1"/>
  <c r="L407" i="1" s="1"/>
  <c r="G408" i="1" s="1"/>
  <c r="M407" i="1" l="1"/>
  <c r="H408" i="1" s="1"/>
  <c r="J408" i="1" l="1"/>
  <c r="K408" i="1" s="1"/>
  <c r="L408" i="1" s="1"/>
  <c r="G409" i="1" s="1"/>
  <c r="N408" i="1"/>
  <c r="I409" i="1" s="1"/>
  <c r="M408" i="1" l="1"/>
  <c r="H409" i="1" s="1"/>
  <c r="N409" i="1" s="1"/>
  <c r="I410" i="1" s="1"/>
  <c r="J409" i="1" l="1"/>
  <c r="K409" i="1" s="1"/>
  <c r="L409" i="1" s="1"/>
  <c r="G410" i="1" s="1"/>
  <c r="M409" i="1" l="1"/>
  <c r="H410" i="1" s="1"/>
  <c r="N410" i="1" s="1"/>
  <c r="I411" i="1" s="1"/>
  <c r="J410" i="1" l="1"/>
  <c r="K410" i="1" s="1"/>
  <c r="L410" i="1" s="1"/>
  <c r="G411" i="1" s="1"/>
  <c r="M410" i="1" l="1"/>
  <c r="H411" i="1" s="1"/>
  <c r="J411" i="1" s="1"/>
  <c r="K411" i="1" s="1"/>
  <c r="L411" i="1" s="1"/>
  <c r="G412" i="1" s="1"/>
  <c r="M411" i="1" l="1"/>
  <c r="H412" i="1" s="1"/>
  <c r="J412" i="1" s="1"/>
  <c r="K412" i="1" s="1"/>
  <c r="L412" i="1" s="1"/>
  <c r="G413" i="1" s="1"/>
  <c r="N411" i="1"/>
  <c r="I412" i="1" s="1"/>
  <c r="N412" i="1" l="1"/>
  <c r="I413" i="1" s="1"/>
  <c r="M412" i="1"/>
  <c r="H413" i="1" s="1"/>
  <c r="N413" i="1" l="1"/>
  <c r="I414" i="1" s="1"/>
  <c r="J413" i="1"/>
  <c r="K413" i="1" s="1"/>
  <c r="L413" i="1" s="1"/>
  <c r="G414" i="1" s="1"/>
  <c r="M413" i="1" l="1"/>
  <c r="H414" i="1" s="1"/>
  <c r="J414" i="1" l="1"/>
  <c r="K414" i="1" s="1"/>
  <c r="L414" i="1" s="1"/>
  <c r="G415" i="1" s="1"/>
  <c r="M414" i="1"/>
  <c r="H415" i="1" s="1"/>
  <c r="N414" i="1"/>
  <c r="I415" i="1" s="1"/>
  <c r="N415" i="1" l="1"/>
  <c r="J415" i="1"/>
  <c r="K415" i="1" s="1"/>
  <c r="L415" i="1" s="1"/>
  <c r="G416" i="1" s="1"/>
  <c r="I416" i="1"/>
  <c r="M415" i="1" l="1"/>
  <c r="H416" i="1" s="1"/>
  <c r="N416" i="1" l="1"/>
  <c r="I417" i="1" s="1"/>
  <c r="J416" i="1"/>
  <c r="K416" i="1" s="1"/>
  <c r="L416" i="1" s="1"/>
  <c r="G417" i="1" s="1"/>
  <c r="M416" i="1" l="1"/>
  <c r="H417" i="1" s="1"/>
  <c r="J417" i="1" l="1"/>
  <c r="K417" i="1" s="1"/>
  <c r="L417" i="1" s="1"/>
  <c r="G418" i="1" s="1"/>
  <c r="N417" i="1"/>
  <c r="I418" i="1" s="1"/>
  <c r="M417" i="1" l="1"/>
  <c r="H418" i="1" s="1"/>
  <c r="N418" i="1" s="1"/>
  <c r="I419" i="1" s="1"/>
  <c r="J418" i="1" l="1"/>
  <c r="K418" i="1" s="1"/>
  <c r="L418" i="1" s="1"/>
  <c r="G419" i="1" s="1"/>
  <c r="M418" i="1"/>
  <c r="H419" i="1" s="1"/>
  <c r="N419" i="1" l="1"/>
  <c r="I420" i="1" s="1"/>
  <c r="J419" i="1"/>
  <c r="K419" i="1" s="1"/>
  <c r="L419" i="1" s="1"/>
  <c r="G420" i="1" s="1"/>
  <c r="M419" i="1" l="1"/>
  <c r="H420" i="1" s="1"/>
  <c r="J420" i="1" l="1"/>
  <c r="K420" i="1" s="1"/>
  <c r="L420" i="1" s="1"/>
  <c r="G421" i="1" s="1"/>
  <c r="N420" i="1"/>
  <c r="I421" i="1" s="1"/>
  <c r="M420" i="1" l="1"/>
  <c r="H421" i="1" s="1"/>
  <c r="N421" i="1" l="1"/>
  <c r="I422" i="1" s="1"/>
  <c r="J421" i="1"/>
  <c r="K421" i="1" s="1"/>
  <c r="L421" i="1" s="1"/>
  <c r="G422" i="1" s="1"/>
  <c r="M421" i="1" l="1"/>
  <c r="H422" i="1" s="1"/>
  <c r="N422" i="1" l="1"/>
  <c r="I423" i="1" s="1"/>
  <c r="J422" i="1"/>
  <c r="K422" i="1" s="1"/>
  <c r="L422" i="1" s="1"/>
  <c r="G423" i="1" s="1"/>
  <c r="M422" i="1" l="1"/>
  <c r="H423" i="1" s="1"/>
  <c r="J423" i="1" l="1"/>
  <c r="K423" i="1" s="1"/>
  <c r="L423" i="1" s="1"/>
  <c r="G424" i="1" s="1"/>
  <c r="N423" i="1"/>
  <c r="I424" i="1" s="1"/>
  <c r="M423" i="1" l="1"/>
  <c r="H424" i="1" s="1"/>
  <c r="N424" i="1" l="1"/>
  <c r="I425" i="1" s="1"/>
  <c r="J424" i="1"/>
  <c r="K424" i="1" s="1"/>
  <c r="L424" i="1" s="1"/>
  <c r="G425" i="1" s="1"/>
  <c r="M424" i="1" l="1"/>
  <c r="H425" i="1" s="1"/>
  <c r="N425" i="1" l="1"/>
  <c r="I426" i="1" s="1"/>
  <c r="J425" i="1"/>
  <c r="K425" i="1" s="1"/>
  <c r="L425" i="1" s="1"/>
  <c r="G426" i="1" s="1"/>
  <c r="M425" i="1" l="1"/>
  <c r="H426" i="1" s="1"/>
  <c r="J426" i="1" l="1"/>
  <c r="K426" i="1" s="1"/>
  <c r="L426" i="1" s="1"/>
  <c r="G427" i="1" s="1"/>
  <c r="N426" i="1"/>
  <c r="I427" i="1" s="1"/>
  <c r="M426" i="1" l="1"/>
  <c r="H427" i="1" s="1"/>
  <c r="N427" i="1" s="1"/>
  <c r="I428" i="1" s="1"/>
  <c r="J427" i="1"/>
  <c r="K427" i="1" s="1"/>
  <c r="L427" i="1" s="1"/>
  <c r="G428" i="1" s="1"/>
  <c r="M427" i="1" l="1"/>
  <c r="H428" i="1" s="1"/>
  <c r="N428" i="1" l="1"/>
  <c r="I429" i="1" s="1"/>
  <c r="J428" i="1"/>
  <c r="K428" i="1" s="1"/>
  <c r="L428" i="1" s="1"/>
  <c r="G429" i="1" s="1"/>
  <c r="M428" i="1" l="1"/>
  <c r="H429" i="1" s="1"/>
  <c r="J429" i="1" l="1"/>
  <c r="K429" i="1" s="1"/>
  <c r="L429" i="1" s="1"/>
  <c r="G430" i="1" s="1"/>
  <c r="N429" i="1"/>
  <c r="I430" i="1" s="1"/>
  <c r="M429" i="1"/>
  <c r="H430" i="1" s="1"/>
  <c r="N430" i="1" l="1"/>
  <c r="I431" i="1" s="1"/>
  <c r="J430" i="1"/>
  <c r="K430" i="1" s="1"/>
  <c r="L430" i="1" s="1"/>
  <c r="G431" i="1" s="1"/>
  <c r="M430" i="1" l="1"/>
  <c r="H431" i="1" s="1"/>
  <c r="N431" i="1" l="1"/>
  <c r="I432" i="1" s="1"/>
  <c r="J431" i="1"/>
  <c r="K431" i="1" s="1"/>
  <c r="L431" i="1" s="1"/>
  <c r="G432" i="1" s="1"/>
  <c r="M431" i="1" l="1"/>
  <c r="H432" i="1" s="1"/>
  <c r="J432" i="1" l="1"/>
  <c r="K432" i="1" s="1"/>
  <c r="L432" i="1" s="1"/>
  <c r="G433" i="1" s="1"/>
  <c r="N432" i="1"/>
  <c r="I433" i="1" s="1"/>
  <c r="M432" i="1"/>
  <c r="H433" i="1" s="1"/>
  <c r="N433" i="1" l="1"/>
  <c r="I434" i="1" s="1"/>
  <c r="J433" i="1"/>
  <c r="K433" i="1" s="1"/>
  <c r="L433" i="1" s="1"/>
  <c r="G434" i="1" s="1"/>
  <c r="M433" i="1" l="1"/>
  <c r="H434" i="1" s="1"/>
  <c r="N434" i="1" l="1"/>
  <c r="I435" i="1" s="1"/>
  <c r="J434" i="1"/>
  <c r="K434" i="1" s="1"/>
  <c r="L434" i="1" s="1"/>
  <c r="G435" i="1" s="1"/>
  <c r="M434" i="1" l="1"/>
  <c r="H435" i="1" s="1"/>
  <c r="N435" i="1" l="1"/>
  <c r="I436" i="1" s="1"/>
  <c r="J435" i="1"/>
  <c r="K435" i="1" s="1"/>
  <c r="L435" i="1" s="1"/>
  <c r="G436" i="1" s="1"/>
  <c r="M435" i="1" l="1"/>
  <c r="H436" i="1" s="1"/>
  <c r="J436" i="1" l="1"/>
  <c r="K436" i="1" s="1"/>
  <c r="L436" i="1" s="1"/>
  <c r="G437" i="1" s="1"/>
  <c r="N436" i="1"/>
  <c r="I437" i="1" s="1"/>
  <c r="M436" i="1" l="1"/>
  <c r="H437" i="1" s="1"/>
  <c r="J437" i="1" l="1"/>
  <c r="K437" i="1" s="1"/>
  <c r="L437" i="1" s="1"/>
  <c r="G438" i="1" s="1"/>
  <c r="N437" i="1"/>
  <c r="I438" i="1" s="1"/>
  <c r="M437" i="1" l="1"/>
  <c r="H438" i="1" s="1"/>
  <c r="N438" i="1" l="1"/>
  <c r="I439" i="1" s="1"/>
  <c r="J438" i="1"/>
  <c r="K438" i="1" s="1"/>
  <c r="L438" i="1" s="1"/>
  <c r="G439" i="1" s="1"/>
  <c r="M438" i="1" l="1"/>
  <c r="H439" i="1" s="1"/>
  <c r="J439" i="1" l="1"/>
  <c r="K439" i="1" s="1"/>
  <c r="L439" i="1" s="1"/>
  <c r="G440" i="1" s="1"/>
  <c r="N439" i="1"/>
  <c r="I440" i="1" s="1"/>
  <c r="M439" i="1" l="1"/>
  <c r="H440" i="1" s="1"/>
  <c r="J440" i="1" s="1"/>
  <c r="K440" i="1" s="1"/>
  <c r="L440" i="1" s="1"/>
  <c r="G441" i="1" s="1"/>
  <c r="M440" i="1" l="1"/>
  <c r="H441" i="1" s="1"/>
  <c r="J441" i="1" s="1"/>
  <c r="K441" i="1" s="1"/>
  <c r="L441" i="1" s="1"/>
  <c r="G442" i="1" s="1"/>
  <c r="N440" i="1"/>
  <c r="I441" i="1" s="1"/>
  <c r="N441" i="1" l="1"/>
  <c r="I442" i="1" s="1"/>
  <c r="M441" i="1"/>
  <c r="H442" i="1" s="1"/>
  <c r="N442" i="1" l="1"/>
  <c r="I443" i="1" s="1"/>
  <c r="J442" i="1"/>
  <c r="K442" i="1" s="1"/>
  <c r="L442" i="1" s="1"/>
  <c r="G443" i="1" s="1"/>
  <c r="M442" i="1" l="1"/>
  <c r="H443" i="1" s="1"/>
  <c r="J443" i="1" s="1"/>
  <c r="K443" i="1" s="1"/>
  <c r="L443" i="1" s="1"/>
  <c r="G444" i="1" s="1"/>
  <c r="N443" i="1"/>
  <c r="I444" i="1" s="1"/>
  <c r="M443" i="1" l="1"/>
  <c r="H444" i="1" s="1"/>
  <c r="N444" i="1" s="1"/>
  <c r="I445" i="1" s="1"/>
  <c r="J444" i="1" l="1"/>
  <c r="K444" i="1" s="1"/>
  <c r="L444" i="1" s="1"/>
  <c r="G445" i="1" s="1"/>
  <c r="M444" i="1"/>
  <c r="H445" i="1" s="1"/>
  <c r="N445" i="1" l="1"/>
  <c r="I446" i="1" s="1"/>
  <c r="J445" i="1"/>
  <c r="K445" i="1" s="1"/>
  <c r="L445" i="1" s="1"/>
  <c r="G446" i="1" s="1"/>
  <c r="M445" i="1" l="1"/>
  <c r="H446" i="1" s="1"/>
  <c r="J446" i="1" l="1"/>
  <c r="K446" i="1" s="1"/>
  <c r="L446" i="1" s="1"/>
  <c r="G447" i="1" s="1"/>
  <c r="M446" i="1"/>
  <c r="H447" i="1" s="1"/>
  <c r="N446" i="1"/>
  <c r="I447" i="1" s="1"/>
  <c r="N447" i="1" l="1"/>
  <c r="J447" i="1"/>
  <c r="K447" i="1" s="1"/>
  <c r="L447" i="1" s="1"/>
  <c r="G448" i="1" s="1"/>
  <c r="I448" i="1"/>
  <c r="M447" i="1" l="1"/>
  <c r="H448" i="1" s="1"/>
  <c r="J448" i="1" l="1"/>
  <c r="K448" i="1" s="1"/>
  <c r="L448" i="1" s="1"/>
  <c r="G449" i="1" s="1"/>
  <c r="N448" i="1"/>
  <c r="I449" i="1" s="1"/>
  <c r="M448" i="1" l="1"/>
  <c r="H449" i="1" s="1"/>
  <c r="J449" i="1" l="1"/>
  <c r="K449" i="1" s="1"/>
  <c r="L449" i="1" s="1"/>
  <c r="G450" i="1" s="1"/>
  <c r="N449" i="1"/>
  <c r="I450" i="1" s="1"/>
  <c r="M449" i="1" l="1"/>
  <c r="H450" i="1" s="1"/>
  <c r="N450" i="1" s="1"/>
  <c r="I451" i="1" s="1"/>
  <c r="J450" i="1" l="1"/>
  <c r="K450" i="1" s="1"/>
  <c r="L450" i="1" s="1"/>
  <c r="G451" i="1" s="1"/>
  <c r="M450" i="1" l="1"/>
  <c r="H451" i="1" s="1"/>
  <c r="N451" i="1" s="1"/>
  <c r="I452" i="1" s="1"/>
  <c r="J451" i="1" l="1"/>
  <c r="K451" i="1" s="1"/>
  <c r="L451" i="1" s="1"/>
  <c r="G452" i="1" s="1"/>
  <c r="M451" i="1"/>
  <c r="H452" i="1" s="1"/>
  <c r="J452" i="1" s="1"/>
  <c r="K452" i="1" s="1"/>
  <c r="L452" i="1" s="1"/>
  <c r="G453" i="1" s="1"/>
  <c r="M452" i="1" l="1"/>
  <c r="H453" i="1" s="1"/>
  <c r="N452" i="1"/>
  <c r="I453" i="1" s="1"/>
  <c r="J453" i="1"/>
  <c r="K453" i="1" s="1"/>
  <c r="L453" i="1" s="1"/>
  <c r="G454" i="1" s="1"/>
  <c r="M453" i="1" l="1"/>
  <c r="H454" i="1" s="1"/>
  <c r="N453" i="1"/>
  <c r="I454" i="1" s="1"/>
  <c r="N454" i="1" s="1"/>
  <c r="I455" i="1" s="1"/>
  <c r="J454" i="1"/>
  <c r="K454" i="1" s="1"/>
  <c r="L454" i="1" s="1"/>
  <c r="G455" i="1" s="1"/>
  <c r="M454" i="1" l="1"/>
  <c r="H455" i="1" s="1"/>
  <c r="J455" i="1" l="1"/>
  <c r="K455" i="1" s="1"/>
  <c r="L455" i="1" s="1"/>
  <c r="G456" i="1" s="1"/>
  <c r="N455" i="1"/>
  <c r="I456" i="1" s="1"/>
  <c r="M455" i="1" l="1"/>
  <c r="H456" i="1" s="1"/>
  <c r="N456" i="1" s="1"/>
  <c r="I457" i="1" s="1"/>
  <c r="J456" i="1" l="1"/>
  <c r="K456" i="1" s="1"/>
  <c r="L456" i="1" s="1"/>
  <c r="G457" i="1" s="1"/>
  <c r="M456" i="1" l="1"/>
  <c r="H457" i="1" s="1"/>
  <c r="J457" i="1" s="1"/>
  <c r="K457" i="1" s="1"/>
  <c r="L457" i="1" s="1"/>
  <c r="G458" i="1" s="1"/>
  <c r="N457" i="1"/>
  <c r="I458" i="1" s="1"/>
  <c r="M457" i="1" l="1"/>
  <c r="H458" i="1" s="1"/>
  <c r="J458" i="1" s="1"/>
  <c r="K458" i="1" s="1"/>
  <c r="L458" i="1" s="1"/>
  <c r="G459" i="1" s="1"/>
  <c r="N458" i="1"/>
  <c r="I459" i="1" s="1"/>
  <c r="M458" i="1" l="1"/>
  <c r="H459" i="1" s="1"/>
  <c r="N459" i="1" s="1"/>
  <c r="I460" i="1" s="1"/>
  <c r="J459" i="1" l="1"/>
  <c r="K459" i="1" s="1"/>
  <c r="L459" i="1" s="1"/>
  <c r="G460" i="1" s="1"/>
  <c r="M459" i="1" l="1"/>
  <c r="H460" i="1" s="1"/>
  <c r="N460" i="1"/>
  <c r="I461" i="1" s="1"/>
  <c r="J460" i="1"/>
  <c r="K460" i="1" s="1"/>
  <c r="L460" i="1" s="1"/>
  <c r="G461" i="1" s="1"/>
  <c r="M460" i="1" l="1"/>
  <c r="H461" i="1" s="1"/>
  <c r="J461" i="1" l="1"/>
  <c r="K461" i="1" s="1"/>
  <c r="L461" i="1" s="1"/>
  <c r="G462" i="1" s="1"/>
  <c r="N461" i="1"/>
  <c r="I462" i="1" s="1"/>
  <c r="M461" i="1" l="1"/>
  <c r="H462" i="1" s="1"/>
  <c r="N462" i="1" s="1"/>
  <c r="I463" i="1" s="1"/>
  <c r="J462" i="1" l="1"/>
  <c r="K462" i="1" s="1"/>
  <c r="L462" i="1" s="1"/>
  <c r="G463" i="1" s="1"/>
  <c r="M462" i="1"/>
  <c r="H463" i="1" s="1"/>
  <c r="N463" i="1" l="1"/>
  <c r="I464" i="1" s="1"/>
  <c r="J463" i="1"/>
  <c r="K463" i="1" s="1"/>
  <c r="L463" i="1" s="1"/>
  <c r="G464" i="1" s="1"/>
  <c r="M463" i="1" l="1"/>
  <c r="H464" i="1" s="1"/>
  <c r="J464" i="1" l="1"/>
  <c r="K464" i="1" s="1"/>
  <c r="L464" i="1" s="1"/>
  <c r="G465" i="1" s="1"/>
  <c r="N464" i="1"/>
  <c r="I465" i="1" s="1"/>
  <c r="M464" i="1" l="1"/>
  <c r="H465" i="1" s="1"/>
  <c r="N465" i="1" s="1"/>
  <c r="I466" i="1" s="1"/>
  <c r="J465" i="1" l="1"/>
  <c r="K465" i="1" s="1"/>
  <c r="L465" i="1" s="1"/>
  <c r="G466" i="1" s="1"/>
  <c r="M465" i="1"/>
  <c r="H466" i="1" s="1"/>
  <c r="N466" i="1" l="1"/>
  <c r="I467" i="1" s="1"/>
  <c r="J466" i="1"/>
  <c r="K466" i="1" s="1"/>
  <c r="L466" i="1" s="1"/>
  <c r="G467" i="1" s="1"/>
  <c r="M466" i="1" l="1"/>
  <c r="H467" i="1" s="1"/>
  <c r="J467" i="1" l="1"/>
  <c r="K467" i="1" s="1"/>
  <c r="L467" i="1" s="1"/>
  <c r="G468" i="1" s="1"/>
  <c r="M467" i="1"/>
  <c r="H468" i="1" s="1"/>
  <c r="N467" i="1"/>
  <c r="I468" i="1" s="1"/>
  <c r="N468" i="1" l="1"/>
  <c r="I469" i="1" s="1"/>
  <c r="J468" i="1"/>
  <c r="K468" i="1" s="1"/>
  <c r="L468" i="1" s="1"/>
  <c r="G469" i="1" s="1"/>
  <c r="M468" i="1" l="1"/>
  <c r="H469" i="1" s="1"/>
  <c r="N469" i="1" l="1"/>
  <c r="I470" i="1" s="1"/>
  <c r="J469" i="1"/>
  <c r="K469" i="1" s="1"/>
  <c r="L469" i="1" s="1"/>
  <c r="G470" i="1" s="1"/>
  <c r="M469" i="1" l="1"/>
  <c r="H470" i="1" s="1"/>
  <c r="J470" i="1" l="1"/>
  <c r="K470" i="1" s="1"/>
  <c r="L470" i="1" s="1"/>
  <c r="G471" i="1" s="1"/>
  <c r="N470" i="1"/>
  <c r="I471" i="1" s="1"/>
  <c r="M470" i="1" l="1"/>
  <c r="H471" i="1" s="1"/>
  <c r="N471" i="1" s="1"/>
  <c r="I472" i="1" s="1"/>
  <c r="J471" i="1" l="1"/>
  <c r="K471" i="1" s="1"/>
  <c r="L471" i="1" s="1"/>
  <c r="G472" i="1" s="1"/>
  <c r="M471" i="1"/>
  <c r="H472" i="1" s="1"/>
  <c r="N472" i="1" l="1"/>
  <c r="I473" i="1" s="1"/>
  <c r="J472" i="1"/>
  <c r="K472" i="1" s="1"/>
  <c r="L472" i="1" s="1"/>
  <c r="G473" i="1" s="1"/>
  <c r="M472" i="1" l="1"/>
  <c r="H473" i="1" s="1"/>
  <c r="J473" i="1" l="1"/>
  <c r="K473" i="1" s="1"/>
  <c r="L473" i="1" s="1"/>
  <c r="G474" i="1" s="1"/>
  <c r="N473" i="1"/>
  <c r="I474" i="1" s="1"/>
  <c r="M473" i="1" l="1"/>
  <c r="H474" i="1" s="1"/>
  <c r="N474" i="1" s="1"/>
  <c r="I475" i="1" s="1"/>
  <c r="J474" i="1" l="1"/>
  <c r="K474" i="1" s="1"/>
  <c r="L474" i="1" s="1"/>
  <c r="G475" i="1" s="1"/>
  <c r="M474" i="1"/>
  <c r="H475" i="1" s="1"/>
  <c r="N475" i="1" l="1"/>
  <c r="I476" i="1" s="1"/>
  <c r="J475" i="1"/>
  <c r="K475" i="1" s="1"/>
  <c r="L475" i="1" s="1"/>
  <c r="G476" i="1" s="1"/>
  <c r="M475" i="1" l="1"/>
  <c r="H476" i="1" s="1"/>
  <c r="J476" i="1" l="1"/>
  <c r="K476" i="1" s="1"/>
  <c r="L476" i="1" s="1"/>
  <c r="G477" i="1" s="1"/>
  <c r="N476" i="1"/>
  <c r="I477" i="1" s="1"/>
  <c r="M476" i="1" l="1"/>
  <c r="H477" i="1" s="1"/>
  <c r="N477" i="1" s="1"/>
  <c r="I478" i="1" s="1"/>
  <c r="J477" i="1" l="1"/>
  <c r="K477" i="1" s="1"/>
  <c r="L477" i="1" s="1"/>
  <c r="G478" i="1" s="1"/>
  <c r="M477" i="1"/>
  <c r="H478" i="1" s="1"/>
  <c r="N478" i="1" l="1"/>
  <c r="I479" i="1" s="1"/>
  <c r="J478" i="1"/>
  <c r="K478" i="1" s="1"/>
  <c r="L478" i="1" s="1"/>
  <c r="G479" i="1" s="1"/>
  <c r="M478" i="1" l="1"/>
  <c r="H479" i="1" s="1"/>
  <c r="J479" i="1" l="1"/>
  <c r="K479" i="1" s="1"/>
  <c r="L479" i="1" s="1"/>
  <c r="G480" i="1" s="1"/>
  <c r="N479" i="1"/>
  <c r="I480" i="1" s="1"/>
  <c r="M479" i="1" l="1"/>
  <c r="H480" i="1" s="1"/>
  <c r="N480" i="1" s="1"/>
  <c r="I481" i="1" s="1"/>
  <c r="J480" i="1" l="1"/>
  <c r="K480" i="1" s="1"/>
  <c r="L480" i="1" s="1"/>
  <c r="G481" i="1" s="1"/>
  <c r="M480" i="1"/>
  <c r="H481" i="1" s="1"/>
  <c r="N481" i="1" l="1"/>
  <c r="I482" i="1" s="1"/>
  <c r="J481" i="1"/>
  <c r="K481" i="1" s="1"/>
  <c r="L481" i="1" s="1"/>
  <c r="G482" i="1" s="1"/>
  <c r="M481" i="1" l="1"/>
  <c r="H482" i="1" s="1"/>
  <c r="J482" i="1" l="1"/>
  <c r="K482" i="1" s="1"/>
  <c r="L482" i="1" s="1"/>
  <c r="G483" i="1" s="1"/>
  <c r="M482" i="1"/>
  <c r="H483" i="1" s="1"/>
  <c r="N482" i="1"/>
  <c r="I483" i="1" s="1"/>
  <c r="N483" i="1" l="1"/>
  <c r="J483" i="1"/>
  <c r="K483" i="1" s="1"/>
  <c r="L483" i="1" s="1"/>
  <c r="G484" i="1" s="1"/>
  <c r="I484" i="1"/>
  <c r="M483" i="1" l="1"/>
  <c r="H484" i="1" s="1"/>
  <c r="N484" i="1" l="1"/>
  <c r="I485" i="1" s="1"/>
  <c r="J484" i="1"/>
  <c r="K484" i="1" s="1"/>
  <c r="L484" i="1" s="1"/>
  <c r="G485" i="1" s="1"/>
  <c r="M484" i="1" l="1"/>
  <c r="H485" i="1" s="1"/>
  <c r="J485" i="1" l="1"/>
  <c r="K485" i="1" s="1"/>
  <c r="L485" i="1" s="1"/>
  <c r="G486" i="1" s="1"/>
  <c r="N485" i="1"/>
  <c r="I486" i="1" s="1"/>
  <c r="M485" i="1" l="1"/>
  <c r="H486" i="1" s="1"/>
  <c r="N486" i="1" s="1"/>
  <c r="I487" i="1" s="1"/>
  <c r="J486" i="1" l="1"/>
  <c r="K486" i="1" s="1"/>
  <c r="L486" i="1" s="1"/>
  <c r="G487" i="1" s="1"/>
  <c r="M486" i="1"/>
  <c r="H487" i="1" s="1"/>
  <c r="N487" i="1" l="1"/>
  <c r="I488" i="1" s="1"/>
  <c r="J487" i="1"/>
  <c r="K487" i="1" s="1"/>
  <c r="L487" i="1" s="1"/>
  <c r="G488" i="1" s="1"/>
  <c r="M487" i="1" l="1"/>
  <c r="H488" i="1" s="1"/>
  <c r="J488" i="1" l="1"/>
  <c r="K488" i="1" s="1"/>
  <c r="L488" i="1" s="1"/>
  <c r="G489" i="1" s="1"/>
  <c r="M488" i="1"/>
  <c r="H489" i="1" s="1"/>
  <c r="N488" i="1"/>
  <c r="I489" i="1" s="1"/>
  <c r="N489" i="1" l="1"/>
  <c r="J489" i="1"/>
  <c r="K489" i="1" s="1"/>
  <c r="L489" i="1" s="1"/>
  <c r="G490" i="1" s="1"/>
  <c r="I490" i="1"/>
  <c r="M489" i="1" l="1"/>
  <c r="H490" i="1" s="1"/>
  <c r="N490" i="1" l="1"/>
  <c r="I491" i="1" s="1"/>
  <c r="J490" i="1"/>
  <c r="K490" i="1" s="1"/>
  <c r="L490" i="1" s="1"/>
  <c r="G491" i="1" s="1"/>
  <c r="M490" i="1" l="1"/>
  <c r="H491" i="1" s="1"/>
  <c r="J491" i="1" l="1"/>
  <c r="K491" i="1" s="1"/>
  <c r="L491" i="1" s="1"/>
  <c r="G492" i="1" s="1"/>
  <c r="N491" i="1"/>
  <c r="I492" i="1" s="1"/>
  <c r="M491" i="1" l="1"/>
  <c r="H492" i="1" s="1"/>
  <c r="N492" i="1" s="1"/>
  <c r="I493" i="1" s="1"/>
  <c r="J492" i="1" l="1"/>
  <c r="K492" i="1" s="1"/>
  <c r="L492" i="1" s="1"/>
  <c r="G493" i="1" s="1"/>
  <c r="M492" i="1"/>
  <c r="H493" i="1" s="1"/>
  <c r="N493" i="1" l="1"/>
  <c r="I494" i="1" s="1"/>
  <c r="J493" i="1"/>
  <c r="K493" i="1" s="1"/>
  <c r="L493" i="1" s="1"/>
  <c r="G494" i="1" s="1"/>
  <c r="M493" i="1" l="1"/>
  <c r="H494" i="1" s="1"/>
  <c r="J494" i="1" l="1"/>
  <c r="K494" i="1" s="1"/>
  <c r="L494" i="1" s="1"/>
  <c r="G495" i="1" s="1"/>
  <c r="M494" i="1"/>
  <c r="H495" i="1" s="1"/>
  <c r="N494" i="1"/>
  <c r="I495" i="1" s="1"/>
  <c r="N495" i="1" l="1"/>
  <c r="J495" i="1"/>
  <c r="K495" i="1" s="1"/>
  <c r="L495" i="1" s="1"/>
  <c r="G496" i="1" s="1"/>
  <c r="I496" i="1"/>
  <c r="M495" i="1" l="1"/>
  <c r="H496" i="1" s="1"/>
  <c r="N496" i="1" l="1"/>
  <c r="I497" i="1" s="1"/>
  <c r="J496" i="1"/>
  <c r="K496" i="1" s="1"/>
  <c r="L496" i="1" s="1"/>
  <c r="G497" i="1" s="1"/>
  <c r="M496" i="1" l="1"/>
  <c r="H497" i="1" s="1"/>
  <c r="J497" i="1" l="1"/>
  <c r="K497" i="1" s="1"/>
  <c r="L497" i="1" s="1"/>
  <c r="G498" i="1" s="1"/>
  <c r="N497" i="1"/>
  <c r="I498" i="1" s="1"/>
  <c r="M497" i="1" l="1"/>
  <c r="H498" i="1" s="1"/>
  <c r="N498" i="1" s="1"/>
  <c r="I499" i="1" s="1"/>
  <c r="J498" i="1" l="1"/>
  <c r="K498" i="1" s="1"/>
  <c r="L498" i="1" s="1"/>
  <c r="G499" i="1" s="1"/>
  <c r="M498" i="1" l="1"/>
  <c r="H499" i="1" s="1"/>
  <c r="N499" i="1"/>
  <c r="I500" i="1" s="1"/>
  <c r="J499" i="1"/>
  <c r="K499" i="1" s="1"/>
  <c r="L499" i="1" s="1"/>
  <c r="G500" i="1" s="1"/>
  <c r="M499" i="1" l="1"/>
  <c r="H500" i="1" s="1"/>
  <c r="J500" i="1" l="1"/>
  <c r="K500" i="1" s="1"/>
  <c r="L500" i="1" s="1"/>
  <c r="G501" i="1" s="1"/>
  <c r="M500" i="1"/>
  <c r="H501" i="1" s="1"/>
  <c r="N500" i="1"/>
  <c r="I501" i="1" s="1"/>
  <c r="N501" i="1" l="1"/>
  <c r="J501" i="1"/>
  <c r="K501" i="1" s="1"/>
  <c r="L501" i="1" s="1"/>
  <c r="G502" i="1" s="1"/>
  <c r="I502" i="1"/>
  <c r="M501" i="1" l="1"/>
  <c r="H502" i="1" s="1"/>
  <c r="N502" i="1" l="1"/>
  <c r="I503" i="1" s="1"/>
  <c r="J502" i="1"/>
  <c r="K502" i="1" s="1"/>
  <c r="L502" i="1" s="1"/>
  <c r="G503" i="1" s="1"/>
  <c r="M502" i="1" l="1"/>
  <c r="H503" i="1" s="1"/>
  <c r="J503" i="1" l="1"/>
  <c r="K503" i="1" s="1"/>
  <c r="L503" i="1" s="1"/>
  <c r="G504" i="1" s="1"/>
  <c r="M503" i="1"/>
  <c r="H504" i="1" s="1"/>
  <c r="N503" i="1"/>
  <c r="I504" i="1" s="1"/>
  <c r="N504" i="1" l="1"/>
  <c r="J504" i="1"/>
  <c r="K504" i="1" s="1"/>
  <c r="L504" i="1" s="1"/>
  <c r="G505" i="1" s="1"/>
  <c r="I505" i="1"/>
  <c r="M504" i="1" l="1"/>
  <c r="H505" i="1" s="1"/>
  <c r="N505" i="1" l="1"/>
  <c r="I506" i="1" s="1"/>
  <c r="J505" i="1"/>
  <c r="K505" i="1" s="1"/>
  <c r="L505" i="1" s="1"/>
  <c r="G506" i="1" s="1"/>
  <c r="M505" i="1" l="1"/>
  <c r="H506" i="1" s="1"/>
  <c r="J506" i="1" l="1"/>
  <c r="K506" i="1" s="1"/>
  <c r="L506" i="1" s="1"/>
  <c r="G507" i="1" s="1"/>
  <c r="N506" i="1"/>
  <c r="I507" i="1" s="1"/>
  <c r="M506" i="1" l="1"/>
  <c r="H507" i="1" s="1"/>
  <c r="N507" i="1" s="1"/>
  <c r="I508" i="1" s="1"/>
  <c r="J507" i="1" l="1"/>
  <c r="K507" i="1" s="1"/>
  <c r="L507" i="1" s="1"/>
  <c r="G508" i="1" s="1"/>
  <c r="M507" i="1" l="1"/>
  <c r="H508" i="1" s="1"/>
  <c r="N508" i="1" s="1"/>
  <c r="I509" i="1" s="1"/>
  <c r="J508" i="1" l="1"/>
  <c r="K508" i="1" s="1"/>
  <c r="L508" i="1" s="1"/>
  <c r="G509" i="1" s="1"/>
  <c r="M508" i="1" l="1"/>
  <c r="H509" i="1" s="1"/>
  <c r="J509" i="1" s="1"/>
  <c r="K509" i="1" s="1"/>
  <c r="L509" i="1" s="1"/>
  <c r="G510" i="1" s="1"/>
  <c r="N509" i="1"/>
  <c r="I510" i="1" s="1"/>
  <c r="M509" i="1" l="1"/>
  <c r="H510" i="1" s="1"/>
  <c r="N510" i="1" s="1"/>
  <c r="I511" i="1" s="1"/>
  <c r="J510" i="1" l="1"/>
  <c r="K510" i="1" s="1"/>
  <c r="L510" i="1" s="1"/>
  <c r="G511" i="1" s="1"/>
  <c r="M510" i="1" l="1"/>
  <c r="H511" i="1" s="1"/>
  <c r="N511" i="1" s="1"/>
  <c r="I512" i="1" s="1"/>
  <c r="J511" i="1" l="1"/>
  <c r="K511" i="1" s="1"/>
  <c r="L511" i="1" s="1"/>
  <c r="G512" i="1" s="1"/>
  <c r="M511" i="1" l="1"/>
  <c r="H512" i="1" s="1"/>
  <c r="J512" i="1" s="1"/>
  <c r="K512" i="1" s="1"/>
  <c r="L512" i="1" s="1"/>
  <c r="G513" i="1" s="1"/>
  <c r="N512" i="1" l="1"/>
  <c r="I513" i="1" s="1"/>
  <c r="M512" i="1"/>
  <c r="H513" i="1" s="1"/>
  <c r="J513" i="1" s="1"/>
  <c r="K513" i="1" s="1"/>
  <c r="L513" i="1" s="1"/>
  <c r="G514" i="1" s="1"/>
  <c r="N513" i="1" l="1"/>
  <c r="I514" i="1" s="1"/>
  <c r="M513" i="1"/>
  <c r="H514" i="1" s="1"/>
  <c r="N514" i="1" l="1"/>
  <c r="I515" i="1" s="1"/>
  <c r="J514" i="1"/>
  <c r="K514" i="1" s="1"/>
  <c r="L514" i="1" s="1"/>
  <c r="G515" i="1" s="1"/>
  <c r="M514" i="1" l="1"/>
  <c r="H515" i="1" s="1"/>
  <c r="J515" i="1" l="1"/>
  <c r="K515" i="1" s="1"/>
  <c r="L515" i="1" s="1"/>
  <c r="G516" i="1" s="1"/>
  <c r="N515" i="1"/>
  <c r="I516" i="1" s="1"/>
  <c r="M515" i="1" l="1"/>
  <c r="H516" i="1" s="1"/>
  <c r="N516" i="1" s="1"/>
  <c r="I517" i="1" s="1"/>
  <c r="J516" i="1" l="1"/>
  <c r="K516" i="1" s="1"/>
  <c r="L516" i="1" s="1"/>
  <c r="G517" i="1" s="1"/>
  <c r="M516" i="1" l="1"/>
  <c r="H517" i="1" s="1"/>
  <c r="N517" i="1" s="1"/>
  <c r="I518" i="1" s="1"/>
  <c r="J517" i="1" l="1"/>
  <c r="K517" i="1" s="1"/>
  <c r="L517" i="1" s="1"/>
  <c r="G518" i="1" s="1"/>
  <c r="M517" i="1" l="1"/>
  <c r="H518" i="1" s="1"/>
  <c r="J518" i="1" s="1"/>
  <c r="K518" i="1" s="1"/>
  <c r="L518" i="1" s="1"/>
  <c r="G519" i="1" s="1"/>
  <c r="N518" i="1" l="1"/>
  <c r="I519" i="1" s="1"/>
  <c r="M518" i="1"/>
  <c r="H519" i="1" s="1"/>
  <c r="J519" i="1" s="1"/>
  <c r="K519" i="1" s="1"/>
  <c r="L519" i="1" s="1"/>
  <c r="G520" i="1" s="1"/>
  <c r="N519" i="1" l="1"/>
  <c r="I520" i="1" s="1"/>
  <c r="M519" i="1"/>
  <c r="H520" i="1" s="1"/>
  <c r="N520" i="1" l="1"/>
  <c r="I521" i="1" s="1"/>
  <c r="J520" i="1"/>
  <c r="K520" i="1" s="1"/>
  <c r="L520" i="1" s="1"/>
  <c r="G521" i="1" s="1"/>
  <c r="M520" i="1" l="1"/>
  <c r="H521" i="1" s="1"/>
  <c r="J521" i="1" l="1"/>
  <c r="K521" i="1" s="1"/>
  <c r="L521" i="1" s="1"/>
  <c r="G522" i="1" s="1"/>
  <c r="N521" i="1"/>
  <c r="I522" i="1" s="1"/>
  <c r="M521" i="1" l="1"/>
  <c r="H522" i="1" s="1"/>
  <c r="N522" i="1" s="1"/>
  <c r="I523" i="1" s="1"/>
  <c r="J522" i="1" l="1"/>
  <c r="K522" i="1" s="1"/>
  <c r="L522" i="1" s="1"/>
  <c r="G523" i="1" s="1"/>
  <c r="M522" i="1" l="1"/>
  <c r="H523" i="1" s="1"/>
  <c r="N523" i="1" s="1"/>
  <c r="I524" i="1" s="1"/>
  <c r="J523" i="1" l="1"/>
  <c r="K523" i="1" s="1"/>
  <c r="L523" i="1" s="1"/>
  <c r="G524" i="1" s="1"/>
  <c r="M523" i="1" l="1"/>
  <c r="H524" i="1" s="1"/>
  <c r="J524" i="1" s="1"/>
  <c r="K524" i="1" s="1"/>
  <c r="L524" i="1" s="1"/>
  <c r="G525" i="1" s="1"/>
  <c r="N524" i="1" l="1"/>
  <c r="I525" i="1" s="1"/>
  <c r="M524" i="1"/>
  <c r="H525" i="1" s="1"/>
  <c r="J525" i="1" s="1"/>
  <c r="K525" i="1" s="1"/>
  <c r="L525" i="1" s="1"/>
  <c r="G526" i="1" s="1"/>
  <c r="N525" i="1" l="1"/>
  <c r="I526" i="1" s="1"/>
  <c r="M525" i="1"/>
  <c r="H526" i="1" s="1"/>
  <c r="N526" i="1" l="1"/>
  <c r="I527" i="1" s="1"/>
  <c r="J526" i="1"/>
  <c r="K526" i="1" s="1"/>
  <c r="L526" i="1" s="1"/>
  <c r="G527" i="1" s="1"/>
  <c r="M526" i="1" l="1"/>
  <c r="H527" i="1" s="1"/>
  <c r="N527" i="1" l="1"/>
  <c r="I528" i="1" s="1"/>
  <c r="J527" i="1"/>
  <c r="K527" i="1" s="1"/>
  <c r="L527" i="1" s="1"/>
  <c r="G528" i="1" s="1"/>
  <c r="M527" i="1" l="1"/>
  <c r="H528" i="1" s="1"/>
  <c r="J528" i="1" l="1"/>
  <c r="K528" i="1" s="1"/>
  <c r="L528" i="1" s="1"/>
  <c r="G529" i="1" s="1"/>
  <c r="N528" i="1"/>
  <c r="I529" i="1" s="1"/>
  <c r="M528" i="1" l="1"/>
  <c r="H529" i="1" s="1"/>
  <c r="N529" i="1" l="1"/>
  <c r="I530" i="1" s="1"/>
  <c r="J529" i="1"/>
  <c r="K529" i="1" s="1"/>
  <c r="L529" i="1" s="1"/>
  <c r="G530" i="1" s="1"/>
  <c r="M529" i="1" l="1"/>
  <c r="H530" i="1" s="1"/>
  <c r="J530" i="1" l="1"/>
  <c r="K530" i="1" s="1"/>
  <c r="L530" i="1" s="1"/>
  <c r="G531" i="1" s="1"/>
  <c r="N530" i="1"/>
  <c r="I531" i="1" s="1"/>
  <c r="M530" i="1" l="1"/>
  <c r="H531" i="1" s="1"/>
  <c r="J531" i="1" l="1"/>
  <c r="K531" i="1" s="1"/>
  <c r="L531" i="1" s="1"/>
  <c r="G532" i="1" s="1"/>
  <c r="N531" i="1"/>
  <c r="I532" i="1" s="1"/>
  <c r="M531" i="1" l="1"/>
  <c r="H532" i="1" s="1"/>
  <c r="N532" i="1" l="1"/>
  <c r="I533" i="1" s="1"/>
  <c r="J532" i="1"/>
  <c r="K532" i="1" s="1"/>
  <c r="L532" i="1" s="1"/>
  <c r="G533" i="1" s="1"/>
  <c r="M532" i="1" l="1"/>
  <c r="H533" i="1" s="1"/>
  <c r="N533" i="1" l="1"/>
  <c r="I534" i="1" s="1"/>
  <c r="J533" i="1"/>
  <c r="K533" i="1" s="1"/>
  <c r="L533" i="1" s="1"/>
  <c r="G534" i="1" s="1"/>
  <c r="M533" i="1" l="1"/>
  <c r="H534" i="1" s="1"/>
  <c r="J534" i="1" l="1"/>
  <c r="K534" i="1" s="1"/>
  <c r="L534" i="1" s="1"/>
  <c r="G535" i="1" s="1"/>
  <c r="N534" i="1"/>
  <c r="I535" i="1" s="1"/>
  <c r="M534" i="1" l="1"/>
  <c r="H535" i="1" s="1"/>
  <c r="N535" i="1" l="1"/>
  <c r="I536" i="1" s="1"/>
  <c r="J535" i="1"/>
  <c r="K535" i="1" s="1"/>
  <c r="L535" i="1" s="1"/>
  <c r="G536" i="1" s="1"/>
  <c r="M535" i="1" l="1"/>
  <c r="H536" i="1" s="1"/>
  <c r="N536" i="1" l="1"/>
  <c r="I537" i="1" s="1"/>
  <c r="J536" i="1"/>
  <c r="K536" i="1" s="1"/>
  <c r="L536" i="1" s="1"/>
  <c r="G537" i="1" s="1"/>
  <c r="M536" i="1" l="1"/>
  <c r="H537" i="1" s="1"/>
  <c r="J537" i="1" l="1"/>
  <c r="K537" i="1" s="1"/>
  <c r="L537" i="1" s="1"/>
  <c r="G538" i="1" s="1"/>
  <c r="N537" i="1"/>
  <c r="I538" i="1" s="1"/>
  <c r="M537" i="1" l="1"/>
  <c r="H538" i="1" s="1"/>
  <c r="N538" i="1" l="1"/>
  <c r="I539" i="1" s="1"/>
  <c r="J538" i="1"/>
  <c r="K538" i="1" s="1"/>
  <c r="L538" i="1" s="1"/>
  <c r="G539" i="1" s="1"/>
  <c r="M538" i="1" l="1"/>
  <c r="H539" i="1" s="1"/>
  <c r="N539" i="1" l="1"/>
  <c r="I540" i="1" s="1"/>
  <c r="J539" i="1"/>
  <c r="K539" i="1" s="1"/>
  <c r="L539" i="1" s="1"/>
  <c r="G540" i="1" s="1"/>
  <c r="M539" i="1" l="1"/>
  <c r="H540" i="1" s="1"/>
  <c r="J540" i="1" l="1"/>
  <c r="K540" i="1" s="1"/>
  <c r="L540" i="1" s="1"/>
  <c r="G541" i="1" s="1"/>
  <c r="N540" i="1"/>
  <c r="I541" i="1" s="1"/>
  <c r="M540" i="1" l="1"/>
  <c r="H541" i="1" s="1"/>
  <c r="N541" i="1" l="1"/>
  <c r="I542" i="1" s="1"/>
  <c r="J541" i="1"/>
  <c r="K541" i="1" s="1"/>
  <c r="L541" i="1" s="1"/>
  <c r="G542" i="1" s="1"/>
  <c r="M541" i="1" l="1"/>
  <c r="H542" i="1" s="1"/>
  <c r="N542" i="1" l="1"/>
  <c r="I543" i="1" s="1"/>
  <c r="J542" i="1"/>
  <c r="K542" i="1" s="1"/>
  <c r="L542" i="1" s="1"/>
  <c r="G543" i="1" s="1"/>
  <c r="M542" i="1" l="1"/>
  <c r="H543" i="1" s="1"/>
  <c r="N543" i="1" l="1"/>
  <c r="I544" i="1" s="1"/>
  <c r="J543" i="1"/>
  <c r="K543" i="1" s="1"/>
  <c r="L543" i="1" s="1"/>
  <c r="G544" i="1" s="1"/>
  <c r="M543" i="1" l="1"/>
  <c r="H544" i="1" s="1"/>
  <c r="N544" i="1" l="1"/>
  <c r="I545" i="1" s="1"/>
  <c r="J544" i="1"/>
  <c r="K544" i="1" s="1"/>
  <c r="L544" i="1" s="1"/>
  <c r="G545" i="1" s="1"/>
  <c r="M544" i="1" l="1"/>
  <c r="H545" i="1" s="1"/>
  <c r="N545" i="1" l="1"/>
  <c r="I546" i="1" s="1"/>
  <c r="J545" i="1"/>
  <c r="K545" i="1" s="1"/>
  <c r="L545" i="1" s="1"/>
  <c r="G546" i="1" s="1"/>
  <c r="M545" i="1" l="1"/>
  <c r="H546" i="1" s="1"/>
  <c r="N546" i="1" l="1"/>
  <c r="I547" i="1" s="1"/>
  <c r="J546" i="1"/>
  <c r="K546" i="1" s="1"/>
  <c r="L546" i="1" s="1"/>
  <c r="G547" i="1" s="1"/>
  <c r="M546" i="1" l="1"/>
  <c r="H547" i="1" s="1"/>
  <c r="J547" i="1" l="1"/>
  <c r="K547" i="1" s="1"/>
  <c r="L547" i="1" s="1"/>
  <c r="G548" i="1" s="1"/>
  <c r="N547" i="1"/>
  <c r="I548" i="1" s="1"/>
  <c r="M547" i="1" l="1"/>
  <c r="H548" i="1" s="1"/>
  <c r="N548" i="1" s="1"/>
  <c r="I549" i="1" s="1"/>
  <c r="J548" i="1" l="1"/>
  <c r="K548" i="1" s="1"/>
  <c r="L548" i="1" s="1"/>
  <c r="G549" i="1" s="1"/>
  <c r="M548" i="1" l="1"/>
  <c r="H549" i="1" s="1"/>
  <c r="N549" i="1" s="1"/>
  <c r="I550" i="1" s="1"/>
  <c r="J549" i="1" l="1"/>
  <c r="K549" i="1" s="1"/>
  <c r="L549" i="1" s="1"/>
  <c r="G550" i="1" s="1"/>
  <c r="M549" i="1" l="1"/>
  <c r="H550" i="1" s="1"/>
  <c r="J550" i="1" s="1"/>
  <c r="K550" i="1" s="1"/>
  <c r="L550" i="1" s="1"/>
  <c r="G551" i="1" s="1"/>
  <c r="N550" i="1" l="1"/>
  <c r="I551" i="1" s="1"/>
  <c r="M550" i="1"/>
  <c r="H551" i="1" s="1"/>
  <c r="J551" i="1" s="1"/>
  <c r="K551" i="1" s="1"/>
  <c r="L551" i="1" s="1"/>
  <c r="G552" i="1" s="1"/>
  <c r="N551" i="1" l="1"/>
  <c r="I552" i="1" s="1"/>
  <c r="M551" i="1"/>
  <c r="H552" i="1" s="1"/>
  <c r="N552" i="1" l="1"/>
  <c r="I553" i="1" s="1"/>
  <c r="J552" i="1"/>
  <c r="K552" i="1" s="1"/>
  <c r="L552" i="1" s="1"/>
  <c r="G553" i="1" s="1"/>
  <c r="M552" i="1" l="1"/>
  <c r="H553" i="1" s="1"/>
  <c r="J553" i="1" l="1"/>
  <c r="K553" i="1" s="1"/>
  <c r="L553" i="1" s="1"/>
  <c r="G554" i="1" s="1"/>
  <c r="N553" i="1"/>
  <c r="I554" i="1" s="1"/>
  <c r="M553" i="1" l="1"/>
  <c r="H554" i="1" s="1"/>
  <c r="N554" i="1" s="1"/>
  <c r="I555" i="1" s="1"/>
  <c r="J554" i="1" l="1"/>
  <c r="K554" i="1" s="1"/>
  <c r="L554" i="1" s="1"/>
  <c r="G555" i="1" s="1"/>
  <c r="M554" i="1" l="1"/>
  <c r="H555" i="1" s="1"/>
  <c r="N555" i="1" s="1"/>
  <c r="I556" i="1" s="1"/>
  <c r="J555" i="1" l="1"/>
  <c r="K555" i="1" s="1"/>
  <c r="L555" i="1" s="1"/>
  <c r="G556" i="1" s="1"/>
  <c r="M555" i="1" l="1"/>
  <c r="H556" i="1" s="1"/>
  <c r="J556" i="1" s="1"/>
  <c r="K556" i="1" s="1"/>
  <c r="L556" i="1" s="1"/>
  <c r="G557" i="1" s="1"/>
  <c r="N556" i="1" l="1"/>
  <c r="I557" i="1" s="1"/>
  <c r="M556" i="1"/>
  <c r="H557" i="1" s="1"/>
  <c r="J557" i="1" s="1"/>
  <c r="K557" i="1" s="1"/>
  <c r="L557" i="1" s="1"/>
  <c r="G558" i="1" s="1"/>
  <c r="N557" i="1" l="1"/>
  <c r="I558" i="1" s="1"/>
  <c r="M557" i="1"/>
  <c r="H558" i="1" s="1"/>
  <c r="N558" i="1" l="1"/>
  <c r="I559" i="1" s="1"/>
  <c r="J558" i="1"/>
  <c r="K558" i="1" s="1"/>
  <c r="L558" i="1" s="1"/>
  <c r="G559" i="1" s="1"/>
  <c r="M558" i="1" l="1"/>
  <c r="H559" i="1" s="1"/>
  <c r="J559" i="1" l="1"/>
  <c r="K559" i="1" s="1"/>
  <c r="L559" i="1" s="1"/>
  <c r="G560" i="1" s="1"/>
  <c r="N559" i="1"/>
  <c r="I560" i="1" s="1"/>
  <c r="M559" i="1" l="1"/>
  <c r="H560" i="1" s="1"/>
  <c r="N560" i="1" s="1"/>
  <c r="I561" i="1" s="1"/>
  <c r="J560" i="1" l="1"/>
  <c r="K560" i="1" s="1"/>
  <c r="L560" i="1" s="1"/>
  <c r="G561" i="1" s="1"/>
  <c r="M560" i="1" l="1"/>
  <c r="H561" i="1" s="1"/>
  <c r="N561" i="1"/>
  <c r="I562" i="1" s="1"/>
  <c r="J561" i="1"/>
  <c r="K561" i="1" s="1"/>
  <c r="L561" i="1" s="1"/>
  <c r="G562" i="1" s="1"/>
  <c r="M561" i="1" l="1"/>
  <c r="H562" i="1" s="1"/>
  <c r="J562" i="1" l="1"/>
  <c r="K562" i="1" s="1"/>
  <c r="L562" i="1" s="1"/>
  <c r="G563" i="1" s="1"/>
  <c r="N562" i="1"/>
  <c r="I563" i="1" s="1"/>
  <c r="M562" i="1" l="1"/>
  <c r="H563" i="1" s="1"/>
  <c r="N563" i="1" s="1"/>
  <c r="I564" i="1" s="1"/>
  <c r="J563" i="1" l="1"/>
  <c r="K563" i="1" s="1"/>
  <c r="L563" i="1" s="1"/>
  <c r="G564" i="1" s="1"/>
  <c r="M563" i="1" l="1"/>
  <c r="H564" i="1" s="1"/>
  <c r="N564" i="1" s="1"/>
  <c r="I565" i="1" s="1"/>
  <c r="J564" i="1" l="1"/>
  <c r="K564" i="1" s="1"/>
  <c r="L564" i="1" s="1"/>
  <c r="G565" i="1" s="1"/>
  <c r="M564" i="1" l="1"/>
  <c r="H565" i="1" s="1"/>
  <c r="J565" i="1" s="1"/>
  <c r="K565" i="1" s="1"/>
  <c r="L565" i="1" s="1"/>
  <c r="G566" i="1" s="1"/>
  <c r="N565" i="1" l="1"/>
  <c r="I566" i="1" s="1"/>
  <c r="M565" i="1"/>
  <c r="H566" i="1" s="1"/>
  <c r="J566" i="1" s="1"/>
  <c r="K566" i="1" s="1"/>
  <c r="L566" i="1" s="1"/>
  <c r="G567" i="1" s="1"/>
  <c r="N566" i="1" l="1"/>
  <c r="I567" i="1"/>
  <c r="M566" i="1"/>
  <c r="H567" i="1" s="1"/>
  <c r="N567" i="1" l="1"/>
  <c r="I568" i="1" s="1"/>
  <c r="J567" i="1"/>
  <c r="K567" i="1" s="1"/>
  <c r="L567" i="1" s="1"/>
  <c r="G568" i="1" s="1"/>
  <c r="M567" i="1" l="1"/>
  <c r="H568" i="1" s="1"/>
  <c r="J568" i="1" l="1"/>
  <c r="K568" i="1" s="1"/>
  <c r="L568" i="1" s="1"/>
  <c r="G569" i="1" s="1"/>
  <c r="N568" i="1"/>
  <c r="I569" i="1" s="1"/>
  <c r="M568" i="1" l="1"/>
  <c r="H569" i="1" s="1"/>
  <c r="N569" i="1" s="1"/>
  <c r="I570" i="1" s="1"/>
  <c r="J569" i="1" l="1"/>
  <c r="K569" i="1" s="1"/>
  <c r="L569" i="1" s="1"/>
  <c r="G570" i="1" s="1"/>
  <c r="M569" i="1" l="1"/>
  <c r="H570" i="1" s="1"/>
  <c r="N570" i="1" s="1"/>
  <c r="I571" i="1" s="1"/>
  <c r="J570" i="1" l="1"/>
  <c r="K570" i="1" s="1"/>
  <c r="L570" i="1" s="1"/>
  <c r="G571" i="1" s="1"/>
  <c r="M570" i="1" l="1"/>
  <c r="H571" i="1" s="1"/>
  <c r="J571" i="1" s="1"/>
  <c r="K571" i="1" s="1"/>
  <c r="L571" i="1" s="1"/>
  <c r="G572" i="1" s="1"/>
  <c r="N571" i="1" l="1"/>
  <c r="I572" i="1" s="1"/>
  <c r="M571" i="1"/>
  <c r="H572" i="1" s="1"/>
  <c r="J572" i="1" s="1"/>
  <c r="K572" i="1" s="1"/>
  <c r="L572" i="1" s="1"/>
  <c r="G573" i="1" s="1"/>
  <c r="N572" i="1" l="1"/>
  <c r="I573" i="1" s="1"/>
  <c r="M572" i="1"/>
  <c r="H573" i="1" s="1"/>
  <c r="N573" i="1" l="1"/>
  <c r="I574" i="1" s="1"/>
  <c r="J573" i="1"/>
  <c r="K573" i="1" s="1"/>
  <c r="L573" i="1" s="1"/>
  <c r="G574" i="1" s="1"/>
  <c r="M573" i="1" l="1"/>
  <c r="H574" i="1" s="1"/>
  <c r="J574" i="1" l="1"/>
  <c r="K574" i="1" s="1"/>
  <c r="L574" i="1" s="1"/>
  <c r="G575" i="1" s="1"/>
  <c r="N574" i="1"/>
  <c r="I575" i="1" s="1"/>
  <c r="M574" i="1" l="1"/>
  <c r="H575" i="1" s="1"/>
  <c r="N575" i="1" s="1"/>
  <c r="I576" i="1" s="1"/>
  <c r="J575" i="1" l="1"/>
  <c r="K575" i="1" s="1"/>
  <c r="L575" i="1" s="1"/>
  <c r="G576" i="1" s="1"/>
  <c r="M575" i="1" l="1"/>
  <c r="H576" i="1" s="1"/>
  <c r="N576" i="1" s="1"/>
  <c r="I577" i="1" s="1"/>
  <c r="J576" i="1" l="1"/>
  <c r="K576" i="1" s="1"/>
  <c r="L576" i="1" s="1"/>
  <c r="G577" i="1" s="1"/>
  <c r="M576" i="1" l="1"/>
  <c r="H577" i="1" s="1"/>
  <c r="J577" i="1" s="1"/>
  <c r="K577" i="1" s="1"/>
  <c r="L577" i="1" s="1"/>
  <c r="G578" i="1" s="1"/>
  <c r="N577" i="1" l="1"/>
  <c r="I578" i="1" s="1"/>
  <c r="M577" i="1"/>
  <c r="H578" i="1" s="1"/>
  <c r="J578" i="1" s="1"/>
  <c r="K578" i="1" s="1"/>
  <c r="L578" i="1" s="1"/>
  <c r="G579" i="1" s="1"/>
  <c r="N578" i="1" l="1"/>
  <c r="I579" i="1" s="1"/>
  <c r="M578" i="1"/>
  <c r="H579" i="1" s="1"/>
  <c r="N579" i="1" l="1"/>
  <c r="I580" i="1" s="1"/>
  <c r="J579" i="1"/>
  <c r="K579" i="1" s="1"/>
  <c r="L579" i="1" s="1"/>
  <c r="G580" i="1" s="1"/>
  <c r="M579" i="1" l="1"/>
  <c r="H580" i="1" s="1"/>
  <c r="J580" i="1" l="1"/>
  <c r="K580" i="1" s="1"/>
  <c r="L580" i="1" s="1"/>
  <c r="G581" i="1" s="1"/>
  <c r="N580" i="1"/>
  <c r="I581" i="1" s="1"/>
  <c r="M580" i="1" l="1"/>
  <c r="H581" i="1" s="1"/>
  <c r="N581" i="1" s="1"/>
  <c r="I582" i="1" s="1"/>
  <c r="J581" i="1" l="1"/>
  <c r="K581" i="1" s="1"/>
  <c r="L581" i="1" s="1"/>
  <c r="G582" i="1" s="1"/>
  <c r="M581" i="1" l="1"/>
  <c r="H582" i="1" s="1"/>
  <c r="N582" i="1" s="1"/>
  <c r="I583" i="1" s="1"/>
  <c r="J582" i="1" l="1"/>
  <c r="K582" i="1" s="1"/>
  <c r="L582" i="1" s="1"/>
  <c r="G583" i="1" s="1"/>
  <c r="M582" i="1" l="1"/>
  <c r="H583" i="1" s="1"/>
  <c r="J583" i="1" s="1"/>
  <c r="K583" i="1" s="1"/>
  <c r="L583" i="1" s="1"/>
  <c r="G584" i="1" s="1"/>
  <c r="N583" i="1"/>
  <c r="I584" i="1" s="1"/>
  <c r="M583" i="1" l="1"/>
  <c r="H584" i="1" s="1"/>
  <c r="N584" i="1" s="1"/>
  <c r="I585" i="1" s="1"/>
  <c r="J584" i="1" l="1"/>
  <c r="K584" i="1" s="1"/>
  <c r="L584" i="1" s="1"/>
  <c r="G585" i="1" s="1"/>
  <c r="M584" i="1" l="1"/>
  <c r="H585" i="1" s="1"/>
  <c r="N585" i="1" s="1"/>
  <c r="I586" i="1" s="1"/>
  <c r="J585" i="1" l="1"/>
  <c r="K585" i="1" s="1"/>
  <c r="L585" i="1" s="1"/>
  <c r="G586" i="1" s="1"/>
  <c r="M585" i="1" l="1"/>
  <c r="H586" i="1" s="1"/>
  <c r="J586" i="1" s="1"/>
  <c r="K586" i="1" s="1"/>
  <c r="L586" i="1" s="1"/>
  <c r="G587" i="1" s="1"/>
  <c r="N586" i="1" l="1"/>
  <c r="I587" i="1" s="1"/>
  <c r="M586" i="1"/>
  <c r="H587" i="1" s="1"/>
  <c r="J587" i="1" s="1"/>
  <c r="K587" i="1" s="1"/>
  <c r="L587" i="1" s="1"/>
  <c r="G588" i="1" s="1"/>
  <c r="N587" i="1" l="1"/>
  <c r="I588" i="1" s="1"/>
  <c r="M587" i="1"/>
  <c r="H588" i="1" s="1"/>
  <c r="N588" i="1" l="1"/>
  <c r="I589" i="1" s="1"/>
  <c r="J588" i="1"/>
  <c r="K588" i="1" s="1"/>
  <c r="L588" i="1" s="1"/>
  <c r="G589" i="1" s="1"/>
  <c r="M588" i="1" l="1"/>
  <c r="H589" i="1" s="1"/>
  <c r="J589" i="1" l="1"/>
  <c r="K589" i="1" s="1"/>
  <c r="L589" i="1" s="1"/>
  <c r="G590" i="1" s="1"/>
  <c r="N589" i="1"/>
  <c r="I590" i="1" s="1"/>
  <c r="M589" i="1" l="1"/>
  <c r="H590" i="1" s="1"/>
  <c r="N590" i="1" s="1"/>
  <c r="I591" i="1" s="1"/>
  <c r="J590" i="1" l="1"/>
  <c r="K590" i="1" s="1"/>
  <c r="L590" i="1" s="1"/>
  <c r="G591" i="1" s="1"/>
  <c r="M590" i="1" l="1"/>
  <c r="H591" i="1" s="1"/>
  <c r="J591" i="1" s="1"/>
  <c r="K591" i="1" s="1"/>
  <c r="L591" i="1" s="1"/>
  <c r="G592" i="1" s="1"/>
  <c r="M591" i="1" l="1"/>
  <c r="H592" i="1" s="1"/>
  <c r="N591" i="1"/>
  <c r="I592" i="1" s="1"/>
  <c r="N592" i="1" l="1"/>
  <c r="I593" i="1" s="1"/>
  <c r="J592" i="1"/>
  <c r="K592" i="1" s="1"/>
  <c r="L592" i="1" s="1"/>
  <c r="G593" i="1" s="1"/>
  <c r="M592" i="1" l="1"/>
  <c r="H593" i="1" s="1"/>
  <c r="N593" i="1" s="1"/>
  <c r="I594" i="1" s="1"/>
  <c r="J593" i="1" l="1"/>
  <c r="K593" i="1" s="1"/>
  <c r="L593" i="1" s="1"/>
  <c r="G594" i="1" s="1"/>
  <c r="M593" i="1"/>
  <c r="H594" i="1" s="1"/>
  <c r="N594" i="1" s="1"/>
  <c r="I595" i="1" s="1"/>
  <c r="J594" i="1" l="1"/>
  <c r="K594" i="1" s="1"/>
  <c r="L594" i="1" s="1"/>
  <c r="G595" i="1" s="1"/>
  <c r="M594" i="1" l="1"/>
  <c r="H595" i="1" s="1"/>
  <c r="J595" i="1"/>
  <c r="K595" i="1" s="1"/>
  <c r="L595" i="1" s="1"/>
  <c r="G596" i="1" s="1"/>
  <c r="N595" i="1"/>
  <c r="I596" i="1" s="1"/>
  <c r="M595" i="1" l="1"/>
  <c r="H596" i="1" s="1"/>
  <c r="N596" i="1" s="1"/>
  <c r="I597" i="1" s="1"/>
  <c r="J596" i="1" l="1"/>
  <c r="K596" i="1" s="1"/>
  <c r="L596" i="1" s="1"/>
  <c r="G597" i="1" s="1"/>
  <c r="M596" i="1"/>
  <c r="H597" i="1" s="1"/>
  <c r="N597" i="1" l="1"/>
  <c r="I598" i="1" s="1"/>
  <c r="J597" i="1"/>
  <c r="K597" i="1" s="1"/>
  <c r="L597" i="1" s="1"/>
  <c r="G598" i="1" s="1"/>
  <c r="M597" i="1" l="1"/>
  <c r="H598" i="1" s="1"/>
  <c r="J598" i="1" l="1"/>
  <c r="K598" i="1" s="1"/>
  <c r="L598" i="1" s="1"/>
  <c r="G599" i="1" s="1"/>
  <c r="N598" i="1"/>
  <c r="I599" i="1" s="1"/>
  <c r="M598" i="1" l="1"/>
  <c r="H599" i="1" s="1"/>
  <c r="N599" i="1" s="1"/>
  <c r="I600" i="1" s="1"/>
  <c r="J599" i="1" l="1"/>
  <c r="K599" i="1" s="1"/>
  <c r="L599" i="1" s="1"/>
  <c r="G600" i="1" s="1"/>
  <c r="M599" i="1" l="1"/>
  <c r="H600" i="1" s="1"/>
  <c r="N600" i="1"/>
  <c r="I601" i="1" s="1"/>
  <c r="J600" i="1"/>
  <c r="K600" i="1" s="1"/>
  <c r="L600" i="1" s="1"/>
  <c r="G601" i="1" s="1"/>
  <c r="M600" i="1" l="1"/>
  <c r="H601" i="1" s="1"/>
  <c r="J601" i="1" l="1"/>
  <c r="K601" i="1" s="1"/>
  <c r="L601" i="1" s="1"/>
  <c r="G602" i="1" s="1"/>
  <c r="N601" i="1"/>
  <c r="I602" i="1" s="1"/>
  <c r="M601" i="1" l="1"/>
  <c r="H602" i="1" s="1"/>
  <c r="N602" i="1" s="1"/>
  <c r="I603" i="1" s="1"/>
  <c r="J602" i="1" l="1"/>
  <c r="K602" i="1" s="1"/>
  <c r="L602" i="1" s="1"/>
  <c r="G603" i="1" s="1"/>
  <c r="M602" i="1" l="1"/>
  <c r="H603" i="1" s="1"/>
  <c r="N603" i="1" s="1"/>
  <c r="I604" i="1" s="1"/>
  <c r="J603" i="1" l="1"/>
  <c r="K603" i="1" s="1"/>
  <c r="L603" i="1" s="1"/>
  <c r="G604" i="1" s="1"/>
  <c r="M603" i="1" l="1"/>
  <c r="H604" i="1" s="1"/>
  <c r="J604" i="1" s="1"/>
  <c r="K604" i="1" s="1"/>
  <c r="L604" i="1" s="1"/>
  <c r="G605" i="1" s="1"/>
  <c r="N604" i="1" l="1"/>
  <c r="I605" i="1" s="1"/>
  <c r="M604" i="1"/>
  <c r="H605" i="1" s="1"/>
  <c r="J605" i="1" s="1"/>
  <c r="K605" i="1" s="1"/>
  <c r="L605" i="1" s="1"/>
  <c r="G606" i="1" s="1"/>
  <c r="N605" i="1" l="1"/>
  <c r="I606" i="1" s="1"/>
  <c r="M605" i="1"/>
  <c r="H606" i="1" s="1"/>
  <c r="N606" i="1" l="1"/>
  <c r="I607" i="1" s="1"/>
  <c r="J606" i="1"/>
  <c r="K606" i="1" s="1"/>
  <c r="L606" i="1" s="1"/>
  <c r="G607" i="1" s="1"/>
  <c r="M606" i="1" l="1"/>
  <c r="H607" i="1" s="1"/>
  <c r="J607" i="1" l="1"/>
  <c r="K607" i="1" s="1"/>
  <c r="L607" i="1" s="1"/>
  <c r="G608" i="1" s="1"/>
  <c r="N607" i="1"/>
  <c r="I608" i="1" s="1"/>
  <c r="M607" i="1" l="1"/>
  <c r="H608" i="1" s="1"/>
  <c r="N608" i="1" s="1"/>
  <c r="I609" i="1" s="1"/>
  <c r="J608" i="1" l="1"/>
  <c r="K608" i="1" s="1"/>
  <c r="L608" i="1" s="1"/>
  <c r="G609" i="1" s="1"/>
  <c r="M608" i="1" l="1"/>
  <c r="H609" i="1" s="1"/>
  <c r="N609" i="1" s="1"/>
  <c r="I610" i="1" s="1"/>
  <c r="J609" i="1" l="1"/>
  <c r="K609" i="1" s="1"/>
  <c r="L609" i="1" s="1"/>
  <c r="G610" i="1" s="1"/>
  <c r="M609" i="1" l="1"/>
  <c r="H610" i="1" s="1"/>
  <c r="J610" i="1" s="1"/>
  <c r="K610" i="1" s="1"/>
  <c r="L610" i="1" s="1"/>
  <c r="G611" i="1" s="1"/>
  <c r="N610" i="1" l="1"/>
  <c r="I611" i="1" s="1"/>
  <c r="M610" i="1"/>
  <c r="H611" i="1" s="1"/>
  <c r="J611" i="1" s="1"/>
  <c r="K611" i="1" s="1"/>
  <c r="L611" i="1" s="1"/>
  <c r="G612" i="1" s="1"/>
  <c r="N611" i="1" l="1"/>
  <c r="I612" i="1" s="1"/>
  <c r="M611" i="1"/>
  <c r="H612" i="1" s="1"/>
  <c r="N612" i="1" l="1"/>
  <c r="I613" i="1" s="1"/>
  <c r="J612" i="1"/>
  <c r="K612" i="1" s="1"/>
  <c r="L612" i="1" s="1"/>
  <c r="G613" i="1" s="1"/>
  <c r="M612" i="1" l="1"/>
  <c r="H613" i="1" s="1"/>
  <c r="J613" i="1" l="1"/>
  <c r="K613" i="1" s="1"/>
  <c r="L613" i="1" s="1"/>
  <c r="G614" i="1" s="1"/>
  <c r="N613" i="1"/>
  <c r="I614" i="1" s="1"/>
  <c r="M613" i="1" l="1"/>
  <c r="H614" i="1" s="1"/>
  <c r="N614" i="1" s="1"/>
  <c r="I615" i="1" s="1"/>
  <c r="J614" i="1" l="1"/>
  <c r="K614" i="1" s="1"/>
  <c r="L614" i="1" s="1"/>
  <c r="G615" i="1" s="1"/>
  <c r="M614" i="1" l="1"/>
  <c r="H615" i="1" s="1"/>
  <c r="N615" i="1" s="1"/>
  <c r="I616" i="1" s="1"/>
  <c r="J615" i="1" l="1"/>
  <c r="K615" i="1" s="1"/>
  <c r="L615" i="1" s="1"/>
  <c r="G616" i="1" s="1"/>
  <c r="M615" i="1" l="1"/>
  <c r="H616" i="1" s="1"/>
  <c r="J616" i="1"/>
  <c r="K616" i="1" s="1"/>
  <c r="L616" i="1" s="1"/>
  <c r="G617" i="1" s="1"/>
  <c r="N616" i="1"/>
  <c r="I617" i="1" s="1"/>
  <c r="M616" i="1" l="1"/>
  <c r="H617" i="1" s="1"/>
  <c r="N617" i="1"/>
  <c r="I618" i="1" s="1"/>
  <c r="J617" i="1"/>
  <c r="K617" i="1" s="1"/>
  <c r="L617" i="1" s="1"/>
  <c r="G618" i="1" s="1"/>
  <c r="M617" i="1" l="1"/>
  <c r="H618" i="1" s="1"/>
  <c r="N618" i="1" l="1"/>
  <c r="I619" i="1" s="1"/>
  <c r="J618" i="1"/>
  <c r="K618" i="1" s="1"/>
  <c r="L618" i="1" s="1"/>
  <c r="G619" i="1" s="1"/>
  <c r="M618" i="1" l="1"/>
  <c r="H619" i="1" s="1"/>
  <c r="J619" i="1" l="1"/>
  <c r="K619" i="1" s="1"/>
  <c r="L619" i="1" s="1"/>
  <c r="G620" i="1" s="1"/>
  <c r="M619" i="1"/>
  <c r="H620" i="1" s="1"/>
  <c r="N619" i="1"/>
  <c r="I620" i="1" s="1"/>
  <c r="N620" i="1" l="1"/>
  <c r="J620" i="1"/>
  <c r="K620" i="1" s="1"/>
  <c r="L620" i="1" s="1"/>
  <c r="G621" i="1" s="1"/>
  <c r="I621" i="1"/>
  <c r="M620" i="1" l="1"/>
  <c r="H621" i="1" s="1"/>
  <c r="N621" i="1" l="1"/>
  <c r="I622" i="1" s="1"/>
  <c r="J621" i="1"/>
  <c r="K621" i="1" s="1"/>
  <c r="L621" i="1" s="1"/>
  <c r="G622" i="1" s="1"/>
  <c r="M621" i="1" l="1"/>
  <c r="H622" i="1" s="1"/>
  <c r="J622" i="1" l="1"/>
  <c r="K622" i="1" s="1"/>
  <c r="L622" i="1" s="1"/>
  <c r="G623" i="1" s="1"/>
  <c r="M622" i="1"/>
  <c r="H623" i="1" s="1"/>
  <c r="N622" i="1"/>
  <c r="I623" i="1" s="1"/>
  <c r="N623" i="1" l="1"/>
  <c r="I624" i="1" s="1"/>
  <c r="J623" i="1"/>
  <c r="K623" i="1" s="1"/>
  <c r="L623" i="1" s="1"/>
  <c r="G624" i="1" s="1"/>
  <c r="M623" i="1" l="1"/>
  <c r="H624" i="1" s="1"/>
  <c r="N624" i="1" l="1"/>
  <c r="I625" i="1" s="1"/>
  <c r="J624" i="1"/>
  <c r="K624" i="1" s="1"/>
  <c r="L624" i="1" s="1"/>
  <c r="G625" i="1" s="1"/>
  <c r="M624" i="1" l="1"/>
  <c r="H625" i="1" s="1"/>
  <c r="J625" i="1" l="1"/>
  <c r="K625" i="1" s="1"/>
  <c r="L625" i="1" s="1"/>
  <c r="G626" i="1" s="1"/>
  <c r="N625" i="1"/>
  <c r="I626" i="1" s="1"/>
  <c r="M625" i="1" l="1"/>
  <c r="H626" i="1" s="1"/>
  <c r="N626" i="1" s="1"/>
  <c r="I627" i="1" s="1"/>
  <c r="J626" i="1" l="1"/>
  <c r="K626" i="1" s="1"/>
  <c r="L626" i="1" s="1"/>
  <c r="G627" i="1" s="1"/>
  <c r="M626" i="1"/>
  <c r="H627" i="1" s="1"/>
  <c r="N627" i="1" l="1"/>
  <c r="I628" i="1" s="1"/>
  <c r="J627" i="1"/>
  <c r="K627" i="1" s="1"/>
  <c r="L627" i="1" s="1"/>
  <c r="G628" i="1" s="1"/>
  <c r="M627" i="1" l="1"/>
  <c r="H628" i="1" s="1"/>
  <c r="J628" i="1" l="1"/>
  <c r="K628" i="1" s="1"/>
  <c r="L628" i="1" s="1"/>
  <c r="G629" i="1" s="1"/>
  <c r="M628" i="1"/>
  <c r="H629" i="1" s="1"/>
  <c r="N628" i="1"/>
  <c r="I629" i="1" s="1"/>
  <c r="N629" i="1" l="1"/>
  <c r="J629" i="1"/>
  <c r="K629" i="1" s="1"/>
  <c r="L629" i="1" s="1"/>
  <c r="G630" i="1" s="1"/>
  <c r="I630" i="1"/>
  <c r="M629" i="1" l="1"/>
  <c r="H630" i="1" s="1"/>
  <c r="N630" i="1" l="1"/>
  <c r="I631" i="1" s="1"/>
  <c r="J630" i="1"/>
  <c r="K630" i="1" s="1"/>
  <c r="L630" i="1" s="1"/>
  <c r="G631" i="1" s="1"/>
  <c r="M630" i="1" l="1"/>
  <c r="H631" i="1" s="1"/>
  <c r="J631" i="1" l="1"/>
  <c r="K631" i="1" s="1"/>
  <c r="L631" i="1" s="1"/>
  <c r="G632" i="1" s="1"/>
  <c r="M631" i="1"/>
  <c r="H632" i="1" s="1"/>
  <c r="N631" i="1"/>
  <c r="I632" i="1" s="1"/>
  <c r="N632" i="1" l="1"/>
  <c r="J632" i="1"/>
  <c r="K632" i="1" s="1"/>
  <c r="L632" i="1" s="1"/>
  <c r="G633" i="1" s="1"/>
  <c r="I633" i="1"/>
  <c r="M632" i="1" l="1"/>
  <c r="H633" i="1" s="1"/>
  <c r="N633" i="1" l="1"/>
  <c r="I634" i="1" s="1"/>
  <c r="J633" i="1"/>
  <c r="K633" i="1" s="1"/>
  <c r="L633" i="1" s="1"/>
  <c r="G634" i="1" s="1"/>
  <c r="M633" i="1" l="1"/>
  <c r="H634" i="1" s="1"/>
  <c r="J634" i="1" l="1"/>
  <c r="K634" i="1" s="1"/>
  <c r="L634" i="1" s="1"/>
  <c r="G635" i="1" s="1"/>
  <c r="M634" i="1"/>
  <c r="H635" i="1" s="1"/>
  <c r="N634" i="1"/>
  <c r="I635" i="1" s="1"/>
  <c r="N635" i="1" l="1"/>
  <c r="J635" i="1"/>
  <c r="K635" i="1" s="1"/>
  <c r="L635" i="1" s="1"/>
  <c r="G636" i="1" s="1"/>
  <c r="I636" i="1"/>
  <c r="M635" i="1" l="1"/>
  <c r="H636" i="1" s="1"/>
  <c r="N636" i="1" l="1"/>
  <c r="I637" i="1" s="1"/>
  <c r="J636" i="1"/>
  <c r="K636" i="1" s="1"/>
  <c r="L636" i="1" s="1"/>
  <c r="G637" i="1" s="1"/>
  <c r="M636" i="1" l="1"/>
  <c r="H637" i="1" s="1"/>
  <c r="J637" i="1" l="1"/>
  <c r="K637" i="1" s="1"/>
  <c r="L637" i="1" s="1"/>
  <c r="G638" i="1" s="1"/>
  <c r="N637" i="1"/>
  <c r="I638" i="1" s="1"/>
  <c r="M637" i="1" l="1"/>
  <c r="H638" i="1" s="1"/>
  <c r="N638" i="1" s="1"/>
  <c r="I639" i="1" s="1"/>
  <c r="J638" i="1" l="1"/>
  <c r="K638" i="1" s="1"/>
  <c r="L638" i="1" s="1"/>
  <c r="G639" i="1" s="1"/>
  <c r="M638" i="1" l="1"/>
  <c r="H639" i="1" s="1"/>
  <c r="N639" i="1" s="1"/>
  <c r="I640" i="1" s="1"/>
  <c r="J639" i="1" l="1"/>
  <c r="K639" i="1" s="1"/>
  <c r="L639" i="1" s="1"/>
  <c r="G640" i="1" s="1"/>
  <c r="M639" i="1" l="1"/>
  <c r="H640" i="1" s="1"/>
  <c r="J640" i="1" s="1"/>
  <c r="K640" i="1" s="1"/>
  <c r="L640" i="1" s="1"/>
  <c r="G641" i="1" s="1"/>
  <c r="N640" i="1" l="1"/>
  <c r="I641" i="1" s="1"/>
  <c r="M640" i="1"/>
  <c r="H641" i="1" s="1"/>
  <c r="J641" i="1"/>
  <c r="K641" i="1" s="1"/>
  <c r="L641" i="1" s="1"/>
  <c r="G642" i="1" s="1"/>
  <c r="N641" i="1" l="1"/>
  <c r="I642" i="1"/>
  <c r="M641" i="1"/>
  <c r="H642" i="1" s="1"/>
  <c r="N642" i="1" l="1"/>
  <c r="I643" i="1" s="1"/>
  <c r="J642" i="1"/>
  <c r="K642" i="1" s="1"/>
  <c r="L642" i="1" s="1"/>
  <c r="G643" i="1" s="1"/>
  <c r="M642" i="1" l="1"/>
  <c r="H643" i="1" s="1"/>
  <c r="J643" i="1" l="1"/>
  <c r="K643" i="1" s="1"/>
  <c r="L643" i="1" s="1"/>
  <c r="G644" i="1" s="1"/>
  <c r="N643" i="1"/>
  <c r="I644" i="1" s="1"/>
  <c r="M643" i="1" l="1"/>
  <c r="H644" i="1" s="1"/>
  <c r="N644" i="1" s="1"/>
  <c r="I645" i="1" s="1"/>
  <c r="J644" i="1" l="1"/>
  <c r="K644" i="1" s="1"/>
  <c r="L644" i="1" s="1"/>
  <c r="G645" i="1" s="1"/>
  <c r="M644" i="1" l="1"/>
  <c r="H645" i="1" s="1"/>
  <c r="N645" i="1" s="1"/>
  <c r="I646" i="1" s="1"/>
  <c r="J645" i="1" l="1"/>
  <c r="K645" i="1" s="1"/>
  <c r="L645" i="1" s="1"/>
  <c r="G646" i="1" s="1"/>
  <c r="M645" i="1"/>
  <c r="H646" i="1" s="1"/>
  <c r="N646" i="1" l="1"/>
  <c r="I647" i="1" s="1"/>
  <c r="J646" i="1"/>
  <c r="K646" i="1" s="1"/>
  <c r="L646" i="1" s="1"/>
  <c r="G647" i="1" s="1"/>
  <c r="M646" i="1" l="1"/>
  <c r="H647" i="1" s="1"/>
  <c r="N647" i="1" l="1"/>
  <c r="I648" i="1" s="1"/>
  <c r="J647" i="1"/>
  <c r="K647" i="1" s="1"/>
  <c r="L647" i="1" s="1"/>
  <c r="G648" i="1" s="1"/>
  <c r="M647" i="1" l="1"/>
  <c r="H648" i="1" s="1"/>
  <c r="J648" i="1" l="1"/>
  <c r="K648" i="1" s="1"/>
  <c r="L648" i="1" s="1"/>
  <c r="G649" i="1" s="1"/>
  <c r="N648" i="1"/>
  <c r="I649" i="1" s="1"/>
  <c r="M648" i="1" l="1"/>
  <c r="H649" i="1" s="1"/>
  <c r="N649" i="1" s="1"/>
  <c r="I650" i="1" s="1"/>
  <c r="J649" i="1" l="1"/>
  <c r="K649" i="1" s="1"/>
  <c r="L649" i="1" s="1"/>
  <c r="G650" i="1" s="1"/>
  <c r="M649" i="1" l="1"/>
  <c r="H650" i="1" s="1"/>
  <c r="N650" i="1" s="1"/>
  <c r="I651" i="1" s="1"/>
  <c r="J650" i="1" l="1"/>
  <c r="K650" i="1" s="1"/>
  <c r="L650" i="1" s="1"/>
  <c r="G651" i="1" s="1"/>
  <c r="M650" i="1"/>
  <c r="H651" i="1" s="1"/>
  <c r="J651" i="1" l="1"/>
  <c r="K651" i="1" s="1"/>
  <c r="L651" i="1" s="1"/>
  <c r="G652" i="1" s="1"/>
  <c r="M651" i="1"/>
  <c r="H652" i="1" s="1"/>
  <c r="N651" i="1"/>
  <c r="I652" i="1" s="1"/>
  <c r="N652" i="1" l="1"/>
  <c r="J652" i="1"/>
  <c r="K652" i="1" s="1"/>
  <c r="L652" i="1" s="1"/>
  <c r="G653" i="1" s="1"/>
  <c r="I653" i="1"/>
  <c r="M652" i="1" l="1"/>
  <c r="H653" i="1" s="1"/>
  <c r="N653" i="1" l="1"/>
  <c r="I654" i="1" s="1"/>
  <c r="J653" i="1"/>
  <c r="K653" i="1" s="1"/>
  <c r="L653" i="1" s="1"/>
  <c r="G654" i="1" s="1"/>
  <c r="M653" i="1" l="1"/>
  <c r="H654" i="1" s="1"/>
  <c r="J654" i="1" l="1"/>
  <c r="K654" i="1" s="1"/>
  <c r="L654" i="1" s="1"/>
  <c r="G655" i="1" s="1"/>
  <c r="M654" i="1"/>
  <c r="H655" i="1" s="1"/>
  <c r="N654" i="1"/>
  <c r="I655" i="1" s="1"/>
  <c r="N655" i="1" l="1"/>
  <c r="J655" i="1"/>
  <c r="K655" i="1" s="1"/>
  <c r="L655" i="1" s="1"/>
  <c r="G656" i="1" s="1"/>
  <c r="I656" i="1"/>
  <c r="M655" i="1" l="1"/>
  <c r="H656" i="1" s="1"/>
  <c r="N656" i="1" l="1"/>
  <c r="I657" i="1" s="1"/>
  <c r="J656" i="1"/>
  <c r="K656" i="1" s="1"/>
  <c r="L656" i="1" s="1"/>
  <c r="G657" i="1" s="1"/>
  <c r="M656" i="1" l="1"/>
  <c r="H657" i="1" s="1"/>
  <c r="J657" i="1" l="1"/>
  <c r="K657" i="1" s="1"/>
  <c r="L657" i="1" s="1"/>
  <c r="G658" i="1" s="1"/>
  <c r="M657" i="1"/>
  <c r="H658" i="1" s="1"/>
  <c r="N657" i="1"/>
  <c r="I658" i="1" s="1"/>
  <c r="N658" i="1" l="1"/>
  <c r="J658" i="1"/>
  <c r="K658" i="1" s="1"/>
  <c r="L658" i="1" s="1"/>
  <c r="G659" i="1" s="1"/>
  <c r="I659" i="1"/>
  <c r="M658" i="1" l="1"/>
  <c r="H659" i="1" s="1"/>
  <c r="N659" i="1" l="1"/>
  <c r="I660" i="1" s="1"/>
  <c r="J659" i="1"/>
  <c r="K659" i="1" s="1"/>
  <c r="L659" i="1" s="1"/>
  <c r="G660" i="1" s="1"/>
  <c r="M659" i="1" l="1"/>
  <c r="H660" i="1" s="1"/>
  <c r="J660" i="1" l="1"/>
  <c r="K660" i="1" s="1"/>
  <c r="L660" i="1" s="1"/>
  <c r="G661" i="1" s="1"/>
  <c r="N660" i="1"/>
  <c r="I661" i="1" s="1"/>
  <c r="M660" i="1" l="1"/>
  <c r="H661" i="1" s="1"/>
  <c r="N661" i="1" s="1"/>
  <c r="I662" i="1" s="1"/>
  <c r="J661" i="1" l="1"/>
  <c r="K661" i="1" s="1"/>
  <c r="L661" i="1" s="1"/>
  <c r="G662" i="1" s="1"/>
  <c r="M661" i="1" l="1"/>
  <c r="H662" i="1" s="1"/>
  <c r="N662" i="1"/>
  <c r="I663" i="1" s="1"/>
  <c r="J662" i="1"/>
  <c r="K662" i="1" s="1"/>
  <c r="L662" i="1" s="1"/>
  <c r="G663" i="1" s="1"/>
  <c r="M662" i="1" l="1"/>
  <c r="H663" i="1" s="1"/>
  <c r="J663" i="1" l="1"/>
  <c r="K663" i="1" s="1"/>
  <c r="L663" i="1" s="1"/>
  <c r="G664" i="1" s="1"/>
  <c r="N663" i="1"/>
  <c r="I664" i="1" s="1"/>
  <c r="M663" i="1" l="1"/>
  <c r="H664" i="1" s="1"/>
  <c r="N664" i="1" s="1"/>
  <c r="I665" i="1" s="1"/>
  <c r="J664" i="1" l="1"/>
  <c r="K664" i="1" s="1"/>
  <c r="L664" i="1" s="1"/>
  <c r="G665" i="1" s="1"/>
  <c r="M664" i="1"/>
  <c r="H665" i="1" s="1"/>
  <c r="N665" i="1" l="1"/>
  <c r="I666" i="1" s="1"/>
  <c r="J665" i="1"/>
  <c r="K665" i="1" s="1"/>
  <c r="L665" i="1" s="1"/>
  <c r="G666" i="1" s="1"/>
  <c r="M665" i="1" l="1"/>
  <c r="H666" i="1" s="1"/>
  <c r="J666" i="1" l="1"/>
  <c r="K666" i="1" s="1"/>
  <c r="L666" i="1" s="1"/>
  <c r="G667" i="1" s="1"/>
  <c r="N666" i="1"/>
  <c r="I667" i="1" s="1"/>
  <c r="M666" i="1" l="1"/>
  <c r="H667" i="1" s="1"/>
  <c r="N667" i="1" s="1"/>
  <c r="I668" i="1" s="1"/>
  <c r="J667" i="1" l="1"/>
  <c r="K667" i="1" s="1"/>
  <c r="L667" i="1" s="1"/>
  <c r="G668" i="1" s="1"/>
  <c r="M667" i="1"/>
  <c r="H668" i="1" s="1"/>
  <c r="N668" i="1" l="1"/>
  <c r="I669" i="1" s="1"/>
  <c r="J668" i="1"/>
  <c r="K668" i="1" s="1"/>
  <c r="L668" i="1" s="1"/>
  <c r="G669" i="1" s="1"/>
  <c r="M668" i="1" l="1"/>
  <c r="H669" i="1" s="1"/>
  <c r="J669" i="1" l="1"/>
  <c r="K669" i="1" s="1"/>
  <c r="L669" i="1" s="1"/>
  <c r="G670" i="1" s="1"/>
  <c r="N669" i="1"/>
  <c r="I670" i="1" s="1"/>
  <c r="M669" i="1" l="1"/>
  <c r="H670" i="1" s="1"/>
  <c r="N670" i="1" s="1"/>
  <c r="I671" i="1" s="1"/>
  <c r="J670" i="1" l="1"/>
  <c r="K670" i="1" s="1"/>
  <c r="L670" i="1" s="1"/>
  <c r="G671" i="1" s="1"/>
  <c r="M670" i="1" l="1"/>
  <c r="H671" i="1" s="1"/>
  <c r="N671" i="1" s="1"/>
  <c r="I672" i="1" s="1"/>
  <c r="J671" i="1" l="1"/>
  <c r="K671" i="1" s="1"/>
  <c r="L671" i="1" s="1"/>
  <c r="G672" i="1" s="1"/>
  <c r="M671" i="1" l="1"/>
  <c r="H672" i="1" s="1"/>
  <c r="J672" i="1" s="1"/>
  <c r="K672" i="1" s="1"/>
  <c r="L672" i="1" s="1"/>
  <c r="G673" i="1" s="1"/>
  <c r="N672" i="1"/>
  <c r="I673" i="1" s="1"/>
  <c r="M672" i="1" l="1"/>
  <c r="H673" i="1" s="1"/>
  <c r="N673" i="1" s="1"/>
  <c r="I674" i="1" s="1"/>
  <c r="J673" i="1" l="1"/>
  <c r="K673" i="1" s="1"/>
  <c r="L673" i="1" s="1"/>
  <c r="G674" i="1" s="1"/>
  <c r="M673" i="1"/>
  <c r="H674" i="1" s="1"/>
  <c r="N674" i="1" l="1"/>
  <c r="I675" i="1" s="1"/>
  <c r="J674" i="1"/>
  <c r="K674" i="1" s="1"/>
  <c r="L674" i="1" s="1"/>
  <c r="G675" i="1" s="1"/>
  <c r="M674" i="1" l="1"/>
  <c r="H675" i="1" s="1"/>
  <c r="J675" i="1" l="1"/>
  <c r="K675" i="1" s="1"/>
  <c r="L675" i="1" s="1"/>
  <c r="G676" i="1" s="1"/>
  <c r="M675" i="1"/>
  <c r="H676" i="1" s="1"/>
  <c r="N675" i="1"/>
  <c r="I676" i="1" s="1"/>
  <c r="N676" i="1" l="1"/>
  <c r="I677" i="1" s="1"/>
  <c r="J676" i="1"/>
  <c r="K676" i="1" s="1"/>
  <c r="L676" i="1" s="1"/>
  <c r="G677" i="1" s="1"/>
  <c r="M676" i="1" l="1"/>
  <c r="H677" i="1" s="1"/>
  <c r="N677" i="1" l="1"/>
  <c r="I678" i="1" s="1"/>
  <c r="J677" i="1"/>
  <c r="K677" i="1" s="1"/>
  <c r="L677" i="1" s="1"/>
  <c r="G678" i="1" s="1"/>
  <c r="M677" i="1" l="1"/>
  <c r="H678" i="1" s="1"/>
  <c r="J678" i="1" l="1"/>
  <c r="K678" i="1" s="1"/>
  <c r="L678" i="1" s="1"/>
  <c r="G679" i="1" s="1"/>
  <c r="M678" i="1"/>
  <c r="H679" i="1" s="1"/>
  <c r="N678" i="1"/>
  <c r="I679" i="1" s="1"/>
  <c r="N679" i="1" l="1"/>
  <c r="I680" i="1" s="1"/>
  <c r="J679" i="1"/>
  <c r="K679" i="1" s="1"/>
  <c r="L679" i="1" s="1"/>
  <c r="G680" i="1" s="1"/>
  <c r="M679" i="1" l="1"/>
  <c r="H680" i="1" s="1"/>
  <c r="N680" i="1" l="1"/>
  <c r="I681" i="1" s="1"/>
  <c r="J680" i="1"/>
  <c r="K680" i="1" s="1"/>
  <c r="L680" i="1" s="1"/>
  <c r="G681" i="1" s="1"/>
  <c r="M680" i="1" l="1"/>
  <c r="H681" i="1" s="1"/>
  <c r="J681" i="1" l="1"/>
  <c r="K681" i="1" s="1"/>
  <c r="L681" i="1" s="1"/>
  <c r="G682" i="1" s="1"/>
  <c r="N681" i="1"/>
  <c r="I682" i="1" s="1"/>
  <c r="M681" i="1" l="1"/>
  <c r="H682" i="1" s="1"/>
  <c r="N682" i="1" s="1"/>
  <c r="I683" i="1" s="1"/>
  <c r="J682" i="1" l="1"/>
  <c r="K682" i="1" s="1"/>
  <c r="L682" i="1" s="1"/>
  <c r="G683" i="1" s="1"/>
  <c r="M682" i="1" l="1"/>
  <c r="H683" i="1" s="1"/>
  <c r="N683" i="1" s="1"/>
  <c r="I684" i="1" s="1"/>
  <c r="J683" i="1" l="1"/>
  <c r="K683" i="1" s="1"/>
  <c r="L683" i="1" s="1"/>
  <c r="G684" i="1" s="1"/>
  <c r="M683" i="1" l="1"/>
  <c r="H684" i="1" s="1"/>
  <c r="J684" i="1" s="1"/>
  <c r="K684" i="1" s="1"/>
  <c r="L684" i="1" s="1"/>
  <c r="G685" i="1" s="1"/>
  <c r="N684" i="1" l="1"/>
  <c r="I685" i="1" s="1"/>
  <c r="M684" i="1"/>
  <c r="H685" i="1" s="1"/>
  <c r="N685" i="1" s="1"/>
  <c r="I686" i="1" s="1"/>
  <c r="J685" i="1" l="1"/>
  <c r="K685" i="1" s="1"/>
  <c r="L685" i="1" s="1"/>
  <c r="G686" i="1" s="1"/>
  <c r="M685" i="1" l="1"/>
  <c r="H686" i="1" s="1"/>
  <c r="N686" i="1" s="1"/>
  <c r="I687" i="1" s="1"/>
  <c r="J686" i="1" l="1"/>
  <c r="K686" i="1" s="1"/>
  <c r="L686" i="1" s="1"/>
  <c r="G687" i="1" s="1"/>
  <c r="M686" i="1"/>
  <c r="H687" i="1" s="1"/>
  <c r="J687" i="1" l="1"/>
  <c r="K687" i="1" s="1"/>
  <c r="L687" i="1" s="1"/>
  <c r="G688" i="1" s="1"/>
  <c r="N687" i="1"/>
  <c r="I688" i="1" s="1"/>
  <c r="M687" i="1" l="1"/>
  <c r="H688" i="1" s="1"/>
  <c r="N688" i="1" s="1"/>
  <c r="I689" i="1" s="1"/>
  <c r="J688" i="1" l="1"/>
  <c r="K688" i="1" s="1"/>
  <c r="L688" i="1" s="1"/>
  <c r="G689" i="1" s="1"/>
  <c r="M688" i="1"/>
  <c r="H689" i="1" s="1"/>
  <c r="N689" i="1" l="1"/>
  <c r="I690" i="1" s="1"/>
  <c r="J689" i="1"/>
  <c r="K689" i="1" s="1"/>
  <c r="L689" i="1" s="1"/>
  <c r="G690" i="1" s="1"/>
  <c r="M689" i="1" l="1"/>
  <c r="H690" i="1" s="1"/>
  <c r="J690" i="1" l="1"/>
  <c r="K690" i="1" s="1"/>
  <c r="L690" i="1" s="1"/>
  <c r="G691" i="1" s="1"/>
  <c r="M690" i="1"/>
  <c r="H691" i="1" s="1"/>
  <c r="N690" i="1"/>
  <c r="I691" i="1" s="1"/>
  <c r="N691" i="1" l="1"/>
  <c r="I692" i="1" s="1"/>
  <c r="J691" i="1"/>
  <c r="K691" i="1" s="1"/>
  <c r="L691" i="1" s="1"/>
  <c r="G692" i="1" s="1"/>
  <c r="M691" i="1" l="1"/>
  <c r="H692" i="1" s="1"/>
  <c r="N692" i="1" l="1"/>
  <c r="I693" i="1" s="1"/>
  <c r="J692" i="1"/>
  <c r="K692" i="1" s="1"/>
  <c r="L692" i="1" s="1"/>
  <c r="G693" i="1" s="1"/>
  <c r="M692" i="1" l="1"/>
  <c r="H693" i="1" s="1"/>
  <c r="J693" i="1" l="1"/>
  <c r="K693" i="1" s="1"/>
  <c r="L693" i="1" s="1"/>
  <c r="G694" i="1" s="1"/>
  <c r="M693" i="1"/>
  <c r="H694" i="1" s="1"/>
  <c r="N693" i="1"/>
  <c r="I694" i="1" s="1"/>
  <c r="N694" i="1" l="1"/>
  <c r="I695" i="1" s="1"/>
  <c r="J694" i="1"/>
  <c r="K694" i="1" s="1"/>
  <c r="L694" i="1" s="1"/>
  <c r="G695" i="1" s="1"/>
  <c r="M694" i="1" l="1"/>
  <c r="H695" i="1" s="1"/>
  <c r="N695" i="1" l="1"/>
  <c r="I696" i="1" s="1"/>
  <c r="J695" i="1"/>
  <c r="K695" i="1" s="1"/>
  <c r="L695" i="1" s="1"/>
  <c r="G696" i="1" s="1"/>
  <c r="M695" i="1" l="1"/>
  <c r="H696" i="1" s="1"/>
  <c r="J696" i="1" l="1"/>
  <c r="K696" i="1" s="1"/>
  <c r="L696" i="1" s="1"/>
  <c r="G697" i="1" s="1"/>
  <c r="N696" i="1"/>
  <c r="I697" i="1" s="1"/>
  <c r="M696" i="1" l="1"/>
  <c r="H697" i="1" s="1"/>
  <c r="N697" i="1" s="1"/>
  <c r="I698" i="1" s="1"/>
  <c r="J697" i="1" l="1"/>
  <c r="K697" i="1" s="1"/>
  <c r="L697" i="1" s="1"/>
  <c r="G698" i="1" s="1"/>
  <c r="M697" i="1"/>
  <c r="H698" i="1" s="1"/>
  <c r="N698" i="1" l="1"/>
  <c r="I699" i="1" s="1"/>
  <c r="J698" i="1"/>
  <c r="K698" i="1" s="1"/>
  <c r="L698" i="1" s="1"/>
  <c r="G699" i="1" s="1"/>
  <c r="M698" i="1" l="1"/>
  <c r="H699" i="1" s="1"/>
  <c r="J699" i="1" l="1"/>
  <c r="K699" i="1" s="1"/>
  <c r="L699" i="1" s="1"/>
  <c r="G700" i="1" s="1"/>
  <c r="N699" i="1"/>
  <c r="I700" i="1" s="1"/>
  <c r="M699" i="1" l="1"/>
  <c r="H700" i="1" s="1"/>
  <c r="N700" i="1" s="1"/>
  <c r="I701" i="1" s="1"/>
  <c r="J700" i="1" l="1"/>
  <c r="K700" i="1" s="1"/>
  <c r="L700" i="1" s="1"/>
  <c r="G701" i="1" s="1"/>
  <c r="M700" i="1" l="1"/>
  <c r="H701" i="1" s="1"/>
  <c r="N701" i="1" s="1"/>
  <c r="I702" i="1" s="1"/>
  <c r="J701" i="1" l="1"/>
  <c r="K701" i="1" s="1"/>
  <c r="L701" i="1" s="1"/>
  <c r="G702" i="1" s="1"/>
  <c r="M701" i="1" l="1"/>
  <c r="H702" i="1" s="1"/>
  <c r="J702" i="1" s="1"/>
  <c r="K702" i="1" s="1"/>
  <c r="L702" i="1" s="1"/>
  <c r="G703" i="1" s="1"/>
  <c r="M702" i="1" l="1"/>
  <c r="H703" i="1" s="1"/>
  <c r="J703" i="1" s="1"/>
  <c r="K703" i="1" s="1"/>
  <c r="L703" i="1" s="1"/>
  <c r="G704" i="1" s="1"/>
  <c r="N702" i="1"/>
  <c r="I703" i="1" s="1"/>
  <c r="N703" i="1" l="1"/>
  <c r="I704" i="1" s="1"/>
  <c r="M703" i="1"/>
  <c r="H704" i="1" s="1"/>
  <c r="N704" i="1" l="1"/>
  <c r="I705" i="1" s="1"/>
  <c r="J704" i="1"/>
  <c r="K704" i="1" s="1"/>
  <c r="L704" i="1" s="1"/>
  <c r="G705" i="1" s="1"/>
  <c r="M704" i="1" l="1"/>
  <c r="H705" i="1" s="1"/>
  <c r="J705" i="1" l="1"/>
  <c r="K705" i="1" s="1"/>
  <c r="L705" i="1" s="1"/>
  <c r="G706" i="1" s="1"/>
  <c r="N705" i="1"/>
  <c r="I706" i="1" s="1"/>
  <c r="M705" i="1" l="1"/>
  <c r="H706" i="1" s="1"/>
  <c r="N706" i="1" s="1"/>
  <c r="I707" i="1" s="1"/>
  <c r="J706" i="1" l="1"/>
  <c r="K706" i="1" s="1"/>
  <c r="L706" i="1" s="1"/>
  <c r="G707" i="1" s="1"/>
  <c r="M706" i="1" l="1"/>
  <c r="H707" i="1" s="1"/>
  <c r="N707" i="1"/>
  <c r="I708" i="1" s="1"/>
  <c r="J707" i="1"/>
  <c r="K707" i="1" s="1"/>
  <c r="L707" i="1" s="1"/>
  <c r="G708" i="1" s="1"/>
  <c r="M707" i="1" l="1"/>
  <c r="H708" i="1" s="1"/>
  <c r="J708" i="1" l="1"/>
  <c r="K708" i="1" s="1"/>
  <c r="L708" i="1" s="1"/>
  <c r="G709" i="1" s="1"/>
  <c r="M708" i="1"/>
  <c r="H709" i="1" s="1"/>
  <c r="N708" i="1"/>
  <c r="I709" i="1" s="1"/>
  <c r="N709" i="1" l="1"/>
  <c r="J709" i="1"/>
  <c r="K709" i="1" s="1"/>
  <c r="L709" i="1" s="1"/>
  <c r="G710" i="1" s="1"/>
  <c r="I710" i="1"/>
  <c r="M709" i="1" l="1"/>
  <c r="H710" i="1" s="1"/>
  <c r="N710" i="1" l="1"/>
  <c r="I711" i="1" s="1"/>
  <c r="J710" i="1"/>
  <c r="K710" i="1" s="1"/>
  <c r="L710" i="1" s="1"/>
  <c r="G711" i="1" s="1"/>
  <c r="M710" i="1" l="1"/>
  <c r="H711" i="1" s="1"/>
  <c r="J711" i="1" l="1"/>
  <c r="K711" i="1" s="1"/>
  <c r="L711" i="1" s="1"/>
  <c r="G712" i="1" s="1"/>
  <c r="N711" i="1"/>
  <c r="I712" i="1" s="1"/>
  <c r="M711" i="1" l="1"/>
  <c r="H712" i="1" s="1"/>
  <c r="N712" i="1"/>
  <c r="J712" i="1"/>
  <c r="K712" i="1" s="1"/>
  <c r="L712" i="1" s="1"/>
  <c r="G713" i="1" s="1"/>
  <c r="I713" i="1"/>
  <c r="M712" i="1" l="1"/>
  <c r="H713" i="1" s="1"/>
  <c r="N713" i="1" l="1"/>
  <c r="I714" i="1" s="1"/>
  <c r="J713" i="1"/>
  <c r="K713" i="1" s="1"/>
  <c r="L713" i="1" s="1"/>
  <c r="G714" i="1" s="1"/>
  <c r="M713" i="1" l="1"/>
  <c r="H714" i="1" s="1"/>
  <c r="J714" i="1" l="1"/>
  <c r="K714" i="1" s="1"/>
  <c r="L714" i="1" s="1"/>
  <c r="G715" i="1" s="1"/>
  <c r="N714" i="1"/>
  <c r="I715" i="1" s="1"/>
  <c r="M714" i="1" l="1"/>
  <c r="H715" i="1" s="1"/>
  <c r="N715" i="1" s="1"/>
  <c r="I716" i="1" s="1"/>
  <c r="J715" i="1" l="1"/>
  <c r="K715" i="1" s="1"/>
  <c r="L715" i="1" s="1"/>
  <c r="G716" i="1" s="1"/>
  <c r="M715" i="1"/>
  <c r="H716" i="1" s="1"/>
  <c r="N716" i="1" l="1"/>
  <c r="I717" i="1" s="1"/>
  <c r="J716" i="1"/>
  <c r="K716" i="1" s="1"/>
  <c r="L716" i="1" s="1"/>
  <c r="G717" i="1" s="1"/>
  <c r="M716" i="1" l="1"/>
  <c r="H717" i="1" s="1"/>
  <c r="J717" i="1" l="1"/>
  <c r="K717" i="1" s="1"/>
  <c r="L717" i="1" s="1"/>
  <c r="G718" i="1" s="1"/>
  <c r="N717" i="1"/>
  <c r="I718" i="1" s="1"/>
  <c r="M717" i="1" l="1"/>
  <c r="H718" i="1" s="1"/>
  <c r="N718" i="1" s="1"/>
  <c r="I719" i="1" s="1"/>
  <c r="J718" i="1" l="1"/>
  <c r="K718" i="1" s="1"/>
  <c r="L718" i="1" s="1"/>
  <c r="G719" i="1" s="1"/>
  <c r="M718" i="1" l="1"/>
  <c r="H719" i="1" s="1"/>
  <c r="N719" i="1"/>
  <c r="I720" i="1" s="1"/>
  <c r="J719" i="1"/>
  <c r="K719" i="1" s="1"/>
  <c r="L719" i="1" s="1"/>
  <c r="G720" i="1" s="1"/>
  <c r="M719" i="1" l="1"/>
  <c r="H720" i="1" s="1"/>
  <c r="J720" i="1" l="1"/>
  <c r="K720" i="1" s="1"/>
  <c r="L720" i="1" s="1"/>
  <c r="G721" i="1" s="1"/>
  <c r="N720" i="1"/>
  <c r="I721" i="1" s="1"/>
  <c r="M720" i="1" l="1"/>
  <c r="H721" i="1" s="1"/>
  <c r="N721" i="1"/>
  <c r="I722" i="1" s="1"/>
  <c r="J721" i="1"/>
  <c r="K721" i="1" s="1"/>
  <c r="L721" i="1" s="1"/>
  <c r="G722" i="1" s="1"/>
  <c r="M721" i="1" l="1"/>
  <c r="H722" i="1" s="1"/>
  <c r="N722" i="1" l="1"/>
  <c r="I723" i="1" s="1"/>
  <c r="J722" i="1"/>
  <c r="K722" i="1" s="1"/>
  <c r="L722" i="1" s="1"/>
  <c r="G723" i="1" s="1"/>
  <c r="M722" i="1" l="1"/>
  <c r="H723" i="1" s="1"/>
  <c r="J723" i="1" l="1"/>
  <c r="K723" i="1" s="1"/>
  <c r="L723" i="1" s="1"/>
  <c r="G724" i="1" s="1"/>
  <c r="N723" i="1"/>
  <c r="I724" i="1" s="1"/>
  <c r="M723" i="1" l="1"/>
  <c r="H724" i="1" s="1"/>
  <c r="N724" i="1" s="1"/>
  <c r="I725" i="1" s="1"/>
  <c r="J724" i="1" l="1"/>
  <c r="K724" i="1" s="1"/>
  <c r="L724" i="1" s="1"/>
  <c r="G725" i="1" s="1"/>
  <c r="M724" i="1" l="1"/>
  <c r="H725" i="1" s="1"/>
  <c r="N725" i="1" s="1"/>
  <c r="I726" i="1" s="1"/>
  <c r="J725" i="1" l="1"/>
  <c r="K725" i="1" s="1"/>
  <c r="L725" i="1" s="1"/>
  <c r="G726" i="1" s="1"/>
  <c r="M725" i="1"/>
  <c r="H726" i="1" s="1"/>
  <c r="J726" i="1" l="1"/>
  <c r="K726" i="1" s="1"/>
  <c r="L726" i="1" s="1"/>
  <c r="G727" i="1" s="1"/>
  <c r="M726" i="1"/>
  <c r="H727" i="1" s="1"/>
  <c r="N726" i="1"/>
  <c r="I727" i="1" s="1"/>
  <c r="N727" i="1" l="1"/>
  <c r="J727" i="1"/>
  <c r="K727" i="1" s="1"/>
  <c r="L727" i="1" s="1"/>
  <c r="G728" i="1" s="1"/>
  <c r="I728" i="1"/>
  <c r="M727" i="1" l="1"/>
  <c r="H728" i="1" s="1"/>
  <c r="N728" i="1" l="1"/>
  <c r="I729" i="1" s="1"/>
  <c r="J728" i="1"/>
  <c r="K728" i="1" s="1"/>
  <c r="L728" i="1" s="1"/>
  <c r="G729" i="1" s="1"/>
  <c r="M728" i="1" l="1"/>
  <c r="H729" i="1" s="1"/>
  <c r="J729" i="1" l="1"/>
  <c r="K729" i="1" s="1"/>
  <c r="L729" i="1" s="1"/>
  <c r="G730" i="1" s="1"/>
  <c r="N729" i="1"/>
  <c r="I730" i="1" s="1"/>
  <c r="M729" i="1" l="1"/>
  <c r="H730" i="1" s="1"/>
  <c r="N730" i="1" s="1"/>
  <c r="I731" i="1" s="1"/>
  <c r="J730" i="1" l="1"/>
  <c r="K730" i="1" s="1"/>
  <c r="L730" i="1" s="1"/>
  <c r="G731" i="1" s="1"/>
  <c r="M730" i="1" l="1"/>
  <c r="H731" i="1" s="1"/>
  <c r="N731" i="1"/>
  <c r="I732" i="1" s="1"/>
  <c r="J731" i="1"/>
  <c r="K731" i="1" s="1"/>
  <c r="L731" i="1" s="1"/>
  <c r="G732" i="1" s="1"/>
  <c r="M731" i="1" l="1"/>
  <c r="H732" i="1" s="1"/>
  <c r="J732" i="1" l="1"/>
  <c r="K732" i="1" s="1"/>
  <c r="L732" i="1" s="1"/>
  <c r="G733" i="1" s="1"/>
  <c r="N732" i="1"/>
  <c r="I733" i="1" s="1"/>
  <c r="M732" i="1" l="1"/>
  <c r="H733" i="1" s="1"/>
  <c r="N733" i="1" s="1"/>
  <c r="I734" i="1" s="1"/>
  <c r="J733" i="1" l="1"/>
  <c r="K733" i="1" s="1"/>
  <c r="L733" i="1" s="1"/>
  <c r="G734" i="1" s="1"/>
  <c r="M733" i="1" l="1"/>
  <c r="H734" i="1" s="1"/>
  <c r="N734" i="1" s="1"/>
  <c r="I735" i="1" s="1"/>
  <c r="J734" i="1" l="1"/>
  <c r="K734" i="1" s="1"/>
  <c r="L734" i="1" s="1"/>
  <c r="G735" i="1" s="1"/>
  <c r="M734" i="1" l="1"/>
  <c r="H735" i="1" s="1"/>
  <c r="J735" i="1" s="1"/>
  <c r="K735" i="1" s="1"/>
  <c r="L735" i="1" s="1"/>
  <c r="G736" i="1" s="1"/>
  <c r="N735" i="1" l="1"/>
  <c r="I736" i="1" s="1"/>
  <c r="M735" i="1"/>
  <c r="H736" i="1" s="1"/>
  <c r="J736" i="1" s="1"/>
  <c r="K736" i="1" s="1"/>
  <c r="L736" i="1" s="1"/>
  <c r="G737" i="1" s="1"/>
  <c r="N736" i="1" l="1"/>
  <c r="I737" i="1" s="1"/>
  <c r="M736" i="1"/>
  <c r="H737" i="1" s="1"/>
  <c r="N737" i="1" l="1"/>
  <c r="I738" i="1" s="1"/>
  <c r="J737" i="1"/>
  <c r="K737" i="1" s="1"/>
  <c r="L737" i="1" s="1"/>
  <c r="G738" i="1" s="1"/>
  <c r="M737" i="1" l="1"/>
  <c r="H738" i="1" s="1"/>
  <c r="J738" i="1" l="1"/>
  <c r="K738" i="1" s="1"/>
  <c r="L738" i="1" s="1"/>
  <c r="G739" i="1" s="1"/>
  <c r="N738" i="1"/>
  <c r="I739" i="1" s="1"/>
  <c r="M738" i="1" l="1"/>
  <c r="H739" i="1" s="1"/>
  <c r="N739" i="1" s="1"/>
  <c r="I740" i="1" s="1"/>
  <c r="J739" i="1" l="1"/>
  <c r="K739" i="1" s="1"/>
  <c r="L739" i="1" s="1"/>
  <c r="G740" i="1" s="1"/>
  <c r="M739" i="1" l="1"/>
  <c r="H740" i="1" s="1"/>
  <c r="N740" i="1" s="1"/>
  <c r="I741" i="1" s="1"/>
  <c r="J740" i="1" l="1"/>
  <c r="K740" i="1" s="1"/>
  <c r="L740" i="1" s="1"/>
  <c r="G741" i="1" s="1"/>
  <c r="M740" i="1"/>
  <c r="H741" i="1" s="1"/>
  <c r="J741" i="1" l="1"/>
  <c r="K741" i="1" s="1"/>
  <c r="L741" i="1" s="1"/>
  <c r="G742" i="1" s="1"/>
  <c r="M741" i="1"/>
  <c r="H742" i="1" s="1"/>
  <c r="N741" i="1"/>
  <c r="I742" i="1" s="1"/>
  <c r="N742" i="1" l="1"/>
  <c r="J742" i="1"/>
  <c r="K742" i="1" s="1"/>
  <c r="L742" i="1" s="1"/>
  <c r="G743" i="1" s="1"/>
  <c r="I743" i="1"/>
  <c r="M742" i="1" l="1"/>
  <c r="H743" i="1" s="1"/>
  <c r="N743" i="1" l="1"/>
  <c r="I744" i="1" s="1"/>
  <c r="J743" i="1"/>
  <c r="K743" i="1" s="1"/>
  <c r="L743" i="1" s="1"/>
  <c r="G744" i="1" s="1"/>
  <c r="M743" i="1" l="1"/>
  <c r="H744" i="1" s="1"/>
  <c r="J744" i="1" l="1"/>
  <c r="K744" i="1" s="1"/>
  <c r="L744" i="1" s="1"/>
  <c r="G745" i="1" s="1"/>
  <c r="N744" i="1"/>
  <c r="I745" i="1" s="1"/>
  <c r="M744" i="1" l="1"/>
  <c r="H745" i="1" s="1"/>
  <c r="N745" i="1" s="1"/>
  <c r="I746" i="1" s="1"/>
  <c r="J745" i="1" l="1"/>
  <c r="K745" i="1" s="1"/>
  <c r="L745" i="1" s="1"/>
  <c r="G746" i="1" s="1"/>
  <c r="M745" i="1"/>
  <c r="H746" i="1" s="1"/>
  <c r="N746" i="1" l="1"/>
  <c r="I747" i="1" s="1"/>
  <c r="J746" i="1"/>
  <c r="K746" i="1" s="1"/>
  <c r="L746" i="1" s="1"/>
  <c r="G747" i="1" s="1"/>
  <c r="M746" i="1" l="1"/>
  <c r="H747" i="1" s="1"/>
  <c r="J747" i="1" l="1"/>
  <c r="K747" i="1" s="1"/>
  <c r="L747" i="1" s="1"/>
  <c r="G748" i="1" s="1"/>
  <c r="M747" i="1"/>
  <c r="H748" i="1" s="1"/>
  <c r="N747" i="1"/>
  <c r="I748" i="1" s="1"/>
  <c r="N748" i="1" l="1"/>
  <c r="J748" i="1"/>
  <c r="K748" i="1" s="1"/>
  <c r="L748" i="1" s="1"/>
  <c r="G749" i="1" s="1"/>
  <c r="I749" i="1"/>
  <c r="M748" i="1" l="1"/>
  <c r="H749" i="1" s="1"/>
  <c r="N749" i="1" l="1"/>
  <c r="I750" i="1" s="1"/>
  <c r="J749" i="1"/>
  <c r="K749" i="1" s="1"/>
  <c r="L749" i="1" s="1"/>
  <c r="G750" i="1" s="1"/>
  <c r="M749" i="1" l="1"/>
  <c r="H750" i="1" s="1"/>
  <c r="J750" i="1" l="1"/>
  <c r="K750" i="1" s="1"/>
  <c r="L750" i="1" s="1"/>
  <c r="G751" i="1" s="1"/>
  <c r="M750" i="1"/>
  <c r="H751" i="1" s="1"/>
  <c r="N750" i="1"/>
  <c r="I751" i="1" s="1"/>
  <c r="N751" i="1" l="1"/>
  <c r="J751" i="1"/>
  <c r="K751" i="1" s="1"/>
  <c r="L751" i="1" s="1"/>
  <c r="G752" i="1" s="1"/>
  <c r="I752" i="1"/>
  <c r="M751" i="1" l="1"/>
  <c r="H752" i="1" s="1"/>
  <c r="N752" i="1" l="1"/>
  <c r="I753" i="1" s="1"/>
  <c r="J752" i="1"/>
  <c r="K752" i="1" s="1"/>
  <c r="L752" i="1" s="1"/>
  <c r="G753" i="1" s="1"/>
  <c r="M752" i="1" l="1"/>
  <c r="H753" i="1" s="1"/>
  <c r="N753" i="1" l="1"/>
  <c r="I754" i="1" s="1"/>
  <c r="J753" i="1"/>
  <c r="K753" i="1" s="1"/>
  <c r="L753" i="1" s="1"/>
  <c r="G754" i="1" s="1"/>
  <c r="M753" i="1" l="1"/>
  <c r="H754" i="1" s="1"/>
  <c r="J754" i="1" l="1"/>
  <c r="K754" i="1" s="1"/>
  <c r="L754" i="1" s="1"/>
  <c r="G755" i="1" s="1"/>
  <c r="M754" i="1"/>
  <c r="H755" i="1" s="1"/>
  <c r="N754" i="1"/>
  <c r="I755" i="1" s="1"/>
  <c r="N755" i="1" l="1"/>
  <c r="J755" i="1"/>
  <c r="K755" i="1" s="1"/>
  <c r="L755" i="1" s="1"/>
  <c r="G756" i="1" s="1"/>
  <c r="I756" i="1"/>
  <c r="M755" i="1" l="1"/>
  <c r="H756" i="1" s="1"/>
  <c r="N756" i="1" l="1"/>
  <c r="I757" i="1" s="1"/>
  <c r="J756" i="1"/>
  <c r="K756" i="1" s="1"/>
  <c r="L756" i="1" s="1"/>
  <c r="G757" i="1" s="1"/>
  <c r="M756" i="1" l="1"/>
  <c r="H757" i="1" s="1"/>
  <c r="J757" i="1" l="1"/>
  <c r="K757" i="1" s="1"/>
  <c r="L757" i="1" s="1"/>
  <c r="G758" i="1" s="1"/>
  <c r="N757" i="1"/>
  <c r="I758" i="1" s="1"/>
  <c r="M757" i="1" l="1"/>
  <c r="H758" i="1" s="1"/>
  <c r="N758" i="1" s="1"/>
  <c r="I759" i="1" s="1"/>
  <c r="J758" i="1" l="1"/>
  <c r="K758" i="1" s="1"/>
  <c r="L758" i="1" s="1"/>
  <c r="G759" i="1" s="1"/>
  <c r="M758" i="1" l="1"/>
  <c r="H759" i="1" s="1"/>
  <c r="N759" i="1" s="1"/>
  <c r="I760" i="1" s="1"/>
  <c r="J759" i="1" l="1"/>
  <c r="K759" i="1" s="1"/>
  <c r="L759" i="1" s="1"/>
  <c r="G760" i="1" s="1"/>
  <c r="M759" i="1" l="1"/>
  <c r="H760" i="1" s="1"/>
  <c r="J760" i="1" s="1"/>
  <c r="K760" i="1" s="1"/>
  <c r="L760" i="1" s="1"/>
  <c r="G761" i="1" s="1"/>
  <c r="N760" i="1" l="1"/>
  <c r="I761" i="1" s="1"/>
  <c r="M760" i="1"/>
  <c r="H761" i="1" s="1"/>
  <c r="N761" i="1" l="1"/>
  <c r="I762" i="1" s="1"/>
  <c r="J761" i="1"/>
  <c r="K761" i="1" s="1"/>
  <c r="L761" i="1" s="1"/>
  <c r="G762" i="1" s="1"/>
  <c r="M761" i="1" l="1"/>
  <c r="H762" i="1" s="1"/>
  <c r="N762" i="1"/>
  <c r="I763" i="1" s="1"/>
  <c r="J762" i="1"/>
  <c r="K762" i="1" s="1"/>
  <c r="L762" i="1" s="1"/>
  <c r="G763" i="1" s="1"/>
  <c r="M762" i="1" l="1"/>
  <c r="H763" i="1" s="1"/>
  <c r="J763" i="1" l="1"/>
  <c r="K763" i="1" s="1"/>
  <c r="L763" i="1" s="1"/>
  <c r="G764" i="1" s="1"/>
  <c r="N763" i="1"/>
  <c r="I764" i="1" s="1"/>
  <c r="M763" i="1" l="1"/>
  <c r="H764" i="1" s="1"/>
  <c r="N764" i="1" s="1"/>
  <c r="I765" i="1" s="1"/>
  <c r="J764" i="1" l="1"/>
  <c r="K764" i="1" s="1"/>
  <c r="L764" i="1" s="1"/>
  <c r="G765" i="1" s="1"/>
  <c r="M764" i="1" l="1"/>
  <c r="H765" i="1" s="1"/>
  <c r="N765" i="1" s="1"/>
  <c r="I766" i="1" s="1"/>
  <c r="J765" i="1" l="1"/>
  <c r="K765" i="1" s="1"/>
  <c r="L765" i="1" s="1"/>
  <c r="G766" i="1" s="1"/>
  <c r="M765" i="1" l="1"/>
  <c r="H766" i="1" s="1"/>
  <c r="J766" i="1" s="1"/>
  <c r="K766" i="1" s="1"/>
  <c r="L766" i="1" s="1"/>
  <c r="G767" i="1" s="1"/>
  <c r="N766" i="1" l="1"/>
  <c r="I767" i="1" s="1"/>
  <c r="M766" i="1"/>
  <c r="H767" i="1" s="1"/>
  <c r="N767" i="1" s="1"/>
  <c r="I768" i="1" s="1"/>
  <c r="J767" i="1" l="1"/>
  <c r="K767" i="1" s="1"/>
  <c r="L767" i="1" s="1"/>
  <c r="G768" i="1" s="1"/>
  <c r="M767" i="1" l="1"/>
  <c r="H768" i="1" s="1"/>
  <c r="N768" i="1"/>
  <c r="I769" i="1" s="1"/>
  <c r="J768" i="1"/>
  <c r="K768" i="1" s="1"/>
  <c r="L768" i="1" s="1"/>
  <c r="G769" i="1" s="1"/>
  <c r="M768" i="1" l="1"/>
  <c r="H769" i="1" s="1"/>
  <c r="J769" i="1" l="1"/>
  <c r="K769" i="1" s="1"/>
  <c r="L769" i="1" s="1"/>
  <c r="G770" i="1" s="1"/>
  <c r="N769" i="1"/>
  <c r="I770" i="1" s="1"/>
  <c r="M769" i="1" l="1"/>
  <c r="H770" i="1" s="1"/>
  <c r="N770" i="1" s="1"/>
  <c r="I771" i="1" s="1"/>
  <c r="J770" i="1" l="1"/>
  <c r="K770" i="1" s="1"/>
  <c r="L770" i="1" s="1"/>
  <c r="G771" i="1" s="1"/>
  <c r="M770" i="1" l="1"/>
  <c r="H771" i="1" s="1"/>
  <c r="N771" i="1" s="1"/>
  <c r="I772" i="1" s="1"/>
  <c r="J771" i="1" l="1"/>
  <c r="K771" i="1" s="1"/>
  <c r="L771" i="1" s="1"/>
  <c r="G772" i="1" s="1"/>
  <c r="M771" i="1" l="1"/>
  <c r="H772" i="1" s="1"/>
  <c r="J772" i="1" s="1"/>
  <c r="K772" i="1" s="1"/>
  <c r="L772" i="1" s="1"/>
  <c r="G773" i="1" s="1"/>
  <c r="N772" i="1" l="1"/>
  <c r="I773" i="1" s="1"/>
  <c r="M772" i="1"/>
  <c r="H773" i="1" s="1"/>
  <c r="N773" i="1" s="1"/>
  <c r="I774" i="1" s="1"/>
  <c r="J773" i="1" l="1"/>
  <c r="K773" i="1" s="1"/>
  <c r="L773" i="1" s="1"/>
  <c r="G774" i="1" s="1"/>
  <c r="M773" i="1"/>
  <c r="H774" i="1" s="1"/>
  <c r="N774" i="1" l="1"/>
  <c r="I775" i="1" s="1"/>
  <c r="J774" i="1"/>
  <c r="K774" i="1" s="1"/>
  <c r="L774" i="1" s="1"/>
  <c r="G775" i="1" s="1"/>
  <c r="M774" i="1" l="1"/>
  <c r="H775" i="1" s="1"/>
  <c r="J775" i="1" l="1"/>
  <c r="K775" i="1" s="1"/>
  <c r="L775" i="1" s="1"/>
  <c r="G776" i="1" s="1"/>
  <c r="M775" i="1"/>
  <c r="H776" i="1" s="1"/>
  <c r="N775" i="1"/>
  <c r="I776" i="1" s="1"/>
  <c r="N776" i="1" l="1"/>
  <c r="I777" i="1" s="1"/>
  <c r="J776" i="1"/>
  <c r="K776" i="1" s="1"/>
  <c r="L776" i="1" s="1"/>
  <c r="G777" i="1" s="1"/>
  <c r="M776" i="1" l="1"/>
  <c r="H777" i="1" s="1"/>
  <c r="N777" i="1" l="1"/>
  <c r="I778" i="1" s="1"/>
  <c r="J777" i="1"/>
  <c r="K777" i="1" s="1"/>
  <c r="L777" i="1" s="1"/>
  <c r="G778" i="1" s="1"/>
  <c r="M777" i="1" l="1"/>
  <c r="H778" i="1" s="1"/>
  <c r="J778" i="1" l="1"/>
  <c r="K778" i="1" s="1"/>
  <c r="L778" i="1" s="1"/>
  <c r="G779" i="1" s="1"/>
  <c r="N778" i="1"/>
  <c r="I779" i="1" s="1"/>
  <c r="M778" i="1" l="1"/>
  <c r="H779" i="1" s="1"/>
  <c r="N779" i="1" s="1"/>
  <c r="I780" i="1" s="1"/>
  <c r="J779" i="1" l="1"/>
  <c r="K779" i="1" s="1"/>
  <c r="L779" i="1" s="1"/>
  <c r="G780" i="1" s="1"/>
  <c r="M779" i="1" l="1"/>
  <c r="H780" i="1" s="1"/>
  <c r="N780" i="1" s="1"/>
  <c r="I781" i="1" s="1"/>
  <c r="J780" i="1" l="1"/>
  <c r="K780" i="1" s="1"/>
  <c r="L780" i="1" s="1"/>
  <c r="G781" i="1" s="1"/>
  <c r="M780" i="1" l="1"/>
  <c r="H781" i="1" s="1"/>
  <c r="J781" i="1" s="1"/>
  <c r="K781" i="1" s="1"/>
  <c r="L781" i="1" s="1"/>
  <c r="G782" i="1" s="1"/>
  <c r="N781" i="1" l="1"/>
  <c r="I782" i="1" s="1"/>
  <c r="M781" i="1"/>
  <c r="H782" i="1" s="1"/>
  <c r="N782" i="1" l="1"/>
  <c r="I783" i="1" s="1"/>
  <c r="J782" i="1"/>
  <c r="K782" i="1" s="1"/>
  <c r="L782" i="1" s="1"/>
  <c r="G783" i="1" s="1"/>
  <c r="M782" i="1" l="1"/>
  <c r="H783" i="1" s="1"/>
  <c r="N783" i="1" s="1"/>
  <c r="I784" i="1" s="1"/>
  <c r="J783" i="1" l="1"/>
  <c r="K783" i="1" s="1"/>
  <c r="L783" i="1" s="1"/>
  <c r="G784" i="1" s="1"/>
  <c r="M783" i="1"/>
  <c r="H784" i="1" s="1"/>
  <c r="J784" i="1" l="1"/>
  <c r="K784" i="1" s="1"/>
  <c r="L784" i="1" s="1"/>
  <c r="G785" i="1" s="1"/>
  <c r="N784" i="1"/>
  <c r="I785" i="1" s="1"/>
  <c r="M784" i="1" l="1"/>
  <c r="H785" i="1" s="1"/>
  <c r="N785" i="1" s="1"/>
  <c r="I786" i="1" s="1"/>
  <c r="J785" i="1" l="1"/>
  <c r="K785" i="1" s="1"/>
  <c r="L785" i="1" s="1"/>
  <c r="G786" i="1" s="1"/>
  <c r="M785" i="1" l="1"/>
  <c r="H786" i="1" s="1"/>
  <c r="N786" i="1" s="1"/>
  <c r="I787" i="1" s="1"/>
  <c r="J786" i="1" l="1"/>
  <c r="K786" i="1" s="1"/>
  <c r="L786" i="1" s="1"/>
  <c r="G787" i="1" s="1"/>
  <c r="M786" i="1" l="1"/>
  <c r="H787" i="1" s="1"/>
  <c r="J787" i="1" s="1"/>
  <c r="K787" i="1" s="1"/>
  <c r="L787" i="1" s="1"/>
  <c r="G788" i="1" s="1"/>
  <c r="N787" i="1" l="1"/>
  <c r="I788" i="1" s="1"/>
  <c r="M787" i="1"/>
  <c r="H788" i="1" s="1"/>
  <c r="J788" i="1" s="1"/>
  <c r="K788" i="1" s="1"/>
  <c r="L788" i="1" s="1"/>
  <c r="G789" i="1" s="1"/>
  <c r="N788" i="1" l="1"/>
  <c r="I789" i="1" s="1"/>
  <c r="M788" i="1"/>
  <c r="H789" i="1" s="1"/>
  <c r="N789" i="1" l="1"/>
  <c r="I790" i="1" s="1"/>
  <c r="J789" i="1"/>
  <c r="K789" i="1" s="1"/>
  <c r="L789" i="1" s="1"/>
  <c r="G790" i="1" s="1"/>
  <c r="M789" i="1" l="1"/>
  <c r="H790" i="1" s="1"/>
  <c r="J790" i="1" l="1"/>
  <c r="K790" i="1" s="1"/>
  <c r="L790" i="1" s="1"/>
  <c r="G791" i="1" s="1"/>
  <c r="M790" i="1"/>
  <c r="H791" i="1" s="1"/>
  <c r="N790" i="1"/>
  <c r="I791" i="1" s="1"/>
  <c r="N791" i="1" l="1"/>
  <c r="I792" i="1" s="1"/>
  <c r="J791" i="1"/>
  <c r="K791" i="1" s="1"/>
  <c r="L791" i="1" s="1"/>
  <c r="G792" i="1" s="1"/>
  <c r="M791" i="1" l="1"/>
  <c r="H792" i="1" s="1"/>
  <c r="N792" i="1" l="1"/>
  <c r="I793" i="1" s="1"/>
  <c r="J792" i="1"/>
  <c r="K792" i="1" s="1"/>
  <c r="L792" i="1" s="1"/>
  <c r="G793" i="1" s="1"/>
  <c r="M792" i="1" l="1"/>
  <c r="H793" i="1" s="1"/>
  <c r="J793" i="1" l="1"/>
  <c r="K793" i="1" s="1"/>
  <c r="L793" i="1" s="1"/>
  <c r="G794" i="1" s="1"/>
  <c r="N793" i="1"/>
  <c r="I794" i="1" s="1"/>
  <c r="M793" i="1" l="1"/>
  <c r="H794" i="1" s="1"/>
  <c r="N794" i="1" s="1"/>
  <c r="I795" i="1" s="1"/>
  <c r="J794" i="1" l="1"/>
  <c r="K794" i="1" s="1"/>
  <c r="L794" i="1" s="1"/>
  <c r="G795" i="1" s="1"/>
  <c r="M794" i="1"/>
  <c r="H795" i="1" s="1"/>
  <c r="N795" i="1" l="1"/>
  <c r="I796" i="1" s="1"/>
  <c r="J795" i="1"/>
  <c r="K795" i="1" s="1"/>
  <c r="L795" i="1" s="1"/>
  <c r="G796" i="1" s="1"/>
  <c r="M795" i="1" l="1"/>
  <c r="H796" i="1" s="1"/>
  <c r="J796" i="1" l="1"/>
  <c r="K796" i="1" s="1"/>
  <c r="L796" i="1" s="1"/>
  <c r="G797" i="1" s="1"/>
  <c r="M796" i="1"/>
  <c r="H797" i="1" s="1"/>
  <c r="N796" i="1"/>
  <c r="I797" i="1" s="1"/>
  <c r="N797" i="1" l="1"/>
  <c r="J797" i="1"/>
  <c r="K797" i="1" s="1"/>
  <c r="L797" i="1" s="1"/>
  <c r="G798" i="1" s="1"/>
  <c r="I798" i="1"/>
  <c r="M797" i="1" l="1"/>
  <c r="H798" i="1" s="1"/>
  <c r="N798" i="1" l="1"/>
  <c r="I799" i="1" s="1"/>
  <c r="J798" i="1"/>
  <c r="K798" i="1" s="1"/>
  <c r="L798" i="1" s="1"/>
  <c r="G799" i="1" s="1"/>
  <c r="M798" i="1" l="1"/>
  <c r="H799" i="1" s="1"/>
  <c r="J799" i="1" l="1"/>
  <c r="K799" i="1" s="1"/>
  <c r="L799" i="1" s="1"/>
  <c r="G800" i="1" s="1"/>
  <c r="N799" i="1"/>
  <c r="I800" i="1" s="1"/>
  <c r="M799" i="1" l="1"/>
  <c r="H800" i="1" s="1"/>
  <c r="N800" i="1" s="1"/>
  <c r="I801" i="1" s="1"/>
  <c r="J800" i="1" l="1"/>
  <c r="K800" i="1" s="1"/>
  <c r="L800" i="1" s="1"/>
  <c r="G801" i="1" s="1"/>
  <c r="M800" i="1"/>
  <c r="H801" i="1" s="1"/>
  <c r="N801" i="1" l="1"/>
  <c r="I802" i="1" s="1"/>
  <c r="J801" i="1"/>
  <c r="K801" i="1" s="1"/>
  <c r="L801" i="1" s="1"/>
  <c r="G802" i="1" s="1"/>
  <c r="M801" i="1" l="1"/>
  <c r="H802" i="1" s="1"/>
  <c r="J802" i="1" l="1"/>
  <c r="K802" i="1" s="1"/>
  <c r="L802" i="1" s="1"/>
  <c r="G803" i="1" s="1"/>
  <c r="M802" i="1"/>
  <c r="H803" i="1" s="1"/>
  <c r="N802" i="1"/>
  <c r="I803" i="1" s="1"/>
  <c r="N803" i="1" l="1"/>
  <c r="J803" i="1"/>
  <c r="K803" i="1" s="1"/>
  <c r="L803" i="1" s="1"/>
  <c r="G804" i="1" s="1"/>
  <c r="I804" i="1"/>
  <c r="M803" i="1" l="1"/>
  <c r="H804" i="1" s="1"/>
  <c r="N804" i="1" l="1"/>
  <c r="I805" i="1" s="1"/>
  <c r="J804" i="1"/>
  <c r="K804" i="1" s="1"/>
  <c r="L804" i="1" s="1"/>
  <c r="G805" i="1" s="1"/>
  <c r="M804" i="1" l="1"/>
  <c r="H805" i="1" s="1"/>
  <c r="J805" i="1" l="1"/>
  <c r="K805" i="1" s="1"/>
  <c r="L805" i="1" s="1"/>
  <c r="G806" i="1" s="1"/>
  <c r="N805" i="1"/>
  <c r="I806" i="1" s="1"/>
  <c r="M805" i="1" l="1"/>
  <c r="H806" i="1" s="1"/>
  <c r="N806" i="1"/>
  <c r="I807" i="1" s="1"/>
  <c r="J806" i="1"/>
  <c r="K806" i="1" s="1"/>
  <c r="L806" i="1" s="1"/>
  <c r="G807" i="1" s="1"/>
  <c r="M806" i="1" l="1"/>
  <c r="H807" i="1" s="1"/>
  <c r="N807" i="1" l="1"/>
  <c r="I808" i="1" s="1"/>
  <c r="J807" i="1"/>
  <c r="K807" i="1" s="1"/>
  <c r="L807" i="1" s="1"/>
  <c r="G808" i="1" s="1"/>
  <c r="M807" i="1" l="1"/>
  <c r="H808" i="1" s="1"/>
  <c r="J808" i="1" l="1"/>
  <c r="K808" i="1" s="1"/>
  <c r="L808" i="1" s="1"/>
  <c r="G809" i="1" s="1"/>
  <c r="N808" i="1"/>
  <c r="I809" i="1" s="1"/>
  <c r="M808" i="1" l="1"/>
  <c r="H809" i="1" s="1"/>
  <c r="N809" i="1" s="1"/>
  <c r="I810" i="1" s="1"/>
  <c r="J809" i="1" l="1"/>
  <c r="K809" i="1" s="1"/>
  <c r="L809" i="1" s="1"/>
  <c r="G810" i="1" s="1"/>
  <c r="M809" i="1"/>
  <c r="H810" i="1" s="1"/>
  <c r="N810" i="1" l="1"/>
  <c r="I811" i="1" s="1"/>
  <c r="J810" i="1"/>
  <c r="K810" i="1" s="1"/>
  <c r="L810" i="1" s="1"/>
  <c r="G811" i="1" s="1"/>
  <c r="M810" i="1" l="1"/>
  <c r="H811" i="1" s="1"/>
  <c r="J811" i="1" l="1"/>
  <c r="K811" i="1" s="1"/>
  <c r="L811" i="1" s="1"/>
  <c r="G812" i="1" s="1"/>
  <c r="M811" i="1"/>
  <c r="H812" i="1" s="1"/>
  <c r="N811" i="1"/>
  <c r="I812" i="1" s="1"/>
  <c r="N812" i="1" l="1"/>
  <c r="J812" i="1"/>
  <c r="K812" i="1" s="1"/>
  <c r="L812" i="1" s="1"/>
  <c r="G813" i="1" s="1"/>
  <c r="I813" i="1"/>
  <c r="M812" i="1" l="1"/>
  <c r="H813" i="1" s="1"/>
  <c r="N813" i="1" l="1"/>
  <c r="I814" i="1" s="1"/>
  <c r="J813" i="1"/>
  <c r="K813" i="1" s="1"/>
  <c r="L813" i="1" s="1"/>
  <c r="G814" i="1" s="1"/>
  <c r="M813" i="1" l="1"/>
  <c r="H814" i="1" s="1"/>
  <c r="J814" i="1" l="1"/>
  <c r="K814" i="1" s="1"/>
  <c r="L814" i="1" s="1"/>
  <c r="G815" i="1" s="1"/>
  <c r="N814" i="1"/>
  <c r="I815" i="1" s="1"/>
  <c r="M814" i="1" l="1"/>
  <c r="H815" i="1" s="1"/>
  <c r="N815" i="1" s="1"/>
  <c r="I816" i="1" s="1"/>
  <c r="J815" i="1" l="1"/>
  <c r="K815" i="1" s="1"/>
  <c r="L815" i="1" s="1"/>
  <c r="G816" i="1" s="1"/>
  <c r="M815" i="1"/>
  <c r="H816" i="1" s="1"/>
  <c r="N816" i="1" l="1"/>
  <c r="I817" i="1" s="1"/>
  <c r="J816" i="1"/>
  <c r="K816" i="1" s="1"/>
  <c r="L816" i="1" s="1"/>
  <c r="G817" i="1" s="1"/>
  <c r="M816" i="1" l="1"/>
  <c r="H817" i="1" s="1"/>
  <c r="J817" i="1" l="1"/>
  <c r="K817" i="1" s="1"/>
  <c r="L817" i="1" s="1"/>
  <c r="G818" i="1" s="1"/>
  <c r="M817" i="1"/>
  <c r="H818" i="1" s="1"/>
  <c r="N817" i="1"/>
  <c r="I818" i="1" s="1"/>
  <c r="N818" i="1" l="1"/>
  <c r="J818" i="1"/>
  <c r="K818" i="1" s="1"/>
  <c r="L818" i="1" s="1"/>
  <c r="G819" i="1" s="1"/>
  <c r="I819" i="1"/>
  <c r="M818" i="1" l="1"/>
  <c r="H819" i="1" s="1"/>
  <c r="N819" i="1" l="1"/>
  <c r="I820" i="1" s="1"/>
  <c r="J819" i="1"/>
  <c r="K819" i="1" s="1"/>
  <c r="L819" i="1" s="1"/>
  <c r="G820" i="1" s="1"/>
  <c r="M819" i="1" l="1"/>
  <c r="H820" i="1" s="1"/>
  <c r="J820" i="1" l="1"/>
  <c r="K820" i="1" s="1"/>
  <c r="L820" i="1" s="1"/>
  <c r="G821" i="1" s="1"/>
  <c r="M820" i="1"/>
  <c r="H821" i="1" s="1"/>
  <c r="N820" i="1"/>
  <c r="I821" i="1" s="1"/>
  <c r="N821" i="1" l="1"/>
  <c r="J821" i="1"/>
  <c r="K821" i="1" s="1"/>
  <c r="L821" i="1" s="1"/>
  <c r="G822" i="1" s="1"/>
  <c r="I822" i="1"/>
  <c r="M821" i="1" l="1"/>
  <c r="H822" i="1" s="1"/>
  <c r="N822" i="1" l="1"/>
  <c r="I823" i="1" s="1"/>
  <c r="J822" i="1"/>
  <c r="K822" i="1" s="1"/>
  <c r="L822" i="1" s="1"/>
  <c r="G823" i="1" s="1"/>
  <c r="M822" i="1" l="1"/>
  <c r="H823" i="1" s="1"/>
  <c r="J823" i="1" l="1"/>
  <c r="K823" i="1" s="1"/>
  <c r="L823" i="1" s="1"/>
  <c r="G824" i="1" s="1"/>
  <c r="N823" i="1"/>
  <c r="I824" i="1" s="1"/>
  <c r="M823" i="1" l="1"/>
  <c r="H824" i="1" s="1"/>
  <c r="N824" i="1" s="1"/>
  <c r="I825" i="1" s="1"/>
  <c r="J824" i="1" l="1"/>
  <c r="K824" i="1" s="1"/>
  <c r="L824" i="1" s="1"/>
  <c r="G825" i="1" s="1"/>
  <c r="M824" i="1"/>
  <c r="H825" i="1" s="1"/>
  <c r="N825" i="1" l="1"/>
  <c r="I826" i="1" s="1"/>
  <c r="J825" i="1"/>
  <c r="K825" i="1" s="1"/>
  <c r="L825" i="1" s="1"/>
  <c r="G826" i="1" s="1"/>
  <c r="M825" i="1" l="1"/>
  <c r="H826" i="1" s="1"/>
  <c r="J826" i="1" l="1"/>
  <c r="K826" i="1" s="1"/>
  <c r="L826" i="1" s="1"/>
  <c r="G827" i="1" s="1"/>
  <c r="N826" i="1"/>
  <c r="I827" i="1" s="1"/>
  <c r="M826" i="1" l="1"/>
  <c r="H827" i="1" s="1"/>
  <c r="N827" i="1" s="1"/>
  <c r="I828" i="1" s="1"/>
  <c r="J827" i="1" l="1"/>
  <c r="K827" i="1" s="1"/>
  <c r="L827" i="1" s="1"/>
  <c r="G828" i="1" s="1"/>
  <c r="M827" i="1"/>
  <c r="H828" i="1" s="1"/>
  <c r="N828" i="1" l="1"/>
  <c r="I829" i="1" s="1"/>
  <c r="J828" i="1"/>
  <c r="K828" i="1" s="1"/>
  <c r="L828" i="1" s="1"/>
  <c r="G829" i="1" s="1"/>
  <c r="M828" i="1" l="1"/>
  <c r="H829" i="1" s="1"/>
  <c r="J829" i="1" l="1"/>
  <c r="K829" i="1" s="1"/>
  <c r="L829" i="1" s="1"/>
  <c r="G830" i="1" s="1"/>
  <c r="N829" i="1"/>
  <c r="I830" i="1" s="1"/>
  <c r="M829" i="1" l="1"/>
  <c r="H830" i="1" s="1"/>
  <c r="N830" i="1"/>
  <c r="I831" i="1" s="1"/>
  <c r="J830" i="1"/>
  <c r="K830" i="1" s="1"/>
  <c r="L830" i="1" s="1"/>
  <c r="G831" i="1" s="1"/>
  <c r="M830" i="1" l="1"/>
  <c r="H831" i="1" s="1"/>
  <c r="N831" i="1" l="1"/>
  <c r="I832" i="1" s="1"/>
  <c r="J831" i="1"/>
  <c r="K831" i="1" s="1"/>
  <c r="L831" i="1" s="1"/>
  <c r="G832" i="1" s="1"/>
  <c r="M831" i="1" l="1"/>
  <c r="H832" i="1" s="1"/>
  <c r="J832" i="1" l="1"/>
  <c r="K832" i="1" s="1"/>
  <c r="L832" i="1" s="1"/>
  <c r="G833" i="1" s="1"/>
  <c r="N832" i="1"/>
  <c r="I833" i="1" s="1"/>
  <c r="M832" i="1" l="1"/>
  <c r="H833" i="1" s="1"/>
  <c r="N833" i="1" s="1"/>
  <c r="I834" i="1" s="1"/>
  <c r="J833" i="1" l="1"/>
  <c r="K833" i="1" s="1"/>
  <c r="L833" i="1" s="1"/>
  <c r="G834" i="1" s="1"/>
  <c r="M833" i="1" l="1"/>
  <c r="H834" i="1" s="1"/>
  <c r="N834" i="1"/>
  <c r="I835" i="1" s="1"/>
  <c r="J834" i="1"/>
  <c r="K834" i="1" s="1"/>
  <c r="L834" i="1" s="1"/>
  <c r="G835" i="1" s="1"/>
  <c r="M834" i="1" l="1"/>
  <c r="H835" i="1" s="1"/>
  <c r="J835" i="1" l="1"/>
  <c r="K835" i="1" s="1"/>
  <c r="L835" i="1" s="1"/>
  <c r="G836" i="1" s="1"/>
  <c r="N835" i="1"/>
  <c r="I836" i="1" s="1"/>
  <c r="M835" i="1" l="1"/>
  <c r="H836" i="1" s="1"/>
  <c r="N836" i="1" s="1"/>
  <c r="I837" i="1" s="1"/>
  <c r="J836" i="1" l="1"/>
  <c r="K836" i="1" s="1"/>
  <c r="L836" i="1" s="1"/>
  <c r="G837" i="1" s="1"/>
  <c r="M836" i="1" l="1"/>
  <c r="H837" i="1" s="1"/>
  <c r="N837" i="1" s="1"/>
  <c r="I838" i="1" s="1"/>
  <c r="J837" i="1" l="1"/>
  <c r="K837" i="1" s="1"/>
  <c r="L837" i="1" s="1"/>
  <c r="G838" i="1" s="1"/>
  <c r="M837" i="1" l="1"/>
  <c r="H838" i="1" s="1"/>
  <c r="J838" i="1"/>
  <c r="K838" i="1" s="1"/>
  <c r="L838" i="1" s="1"/>
  <c r="G839" i="1" s="1"/>
  <c r="N838" i="1"/>
  <c r="I839" i="1" s="1"/>
  <c r="M838" i="1" l="1"/>
  <c r="H839" i="1" s="1"/>
  <c r="N839" i="1" s="1"/>
  <c r="I840" i="1" s="1"/>
  <c r="J839" i="1" l="1"/>
  <c r="K839" i="1" s="1"/>
  <c r="L839" i="1" s="1"/>
  <c r="G840" i="1" s="1"/>
  <c r="M839" i="1" l="1"/>
  <c r="H840" i="1" s="1"/>
  <c r="N840" i="1" s="1"/>
  <c r="I841" i="1" s="1"/>
  <c r="J840" i="1" l="1"/>
  <c r="K840" i="1" s="1"/>
  <c r="L840" i="1" s="1"/>
  <c r="G841" i="1" s="1"/>
  <c r="M840" i="1"/>
  <c r="H841" i="1" s="1"/>
  <c r="J841" i="1" l="1"/>
  <c r="K841" i="1" s="1"/>
  <c r="L841" i="1" s="1"/>
  <c r="G842" i="1" s="1"/>
  <c r="N841" i="1"/>
  <c r="I842" i="1" s="1"/>
  <c r="M841" i="1" l="1"/>
  <c r="H842" i="1" s="1"/>
  <c r="N842" i="1" s="1"/>
  <c r="I843" i="1" s="1"/>
  <c r="J842" i="1" l="1"/>
  <c r="K842" i="1" s="1"/>
  <c r="L842" i="1" s="1"/>
  <c r="G843" i="1" s="1"/>
  <c r="M842" i="1"/>
  <c r="H843" i="1" s="1"/>
  <c r="N843" i="1" l="1"/>
  <c r="I844" i="1" s="1"/>
  <c r="J843" i="1"/>
  <c r="K843" i="1" s="1"/>
  <c r="L843" i="1" s="1"/>
  <c r="G844" i="1" s="1"/>
  <c r="M843" i="1" l="1"/>
  <c r="H844" i="1" s="1"/>
  <c r="J844" i="1" l="1"/>
  <c r="K844" i="1" s="1"/>
  <c r="L844" i="1" s="1"/>
  <c r="G845" i="1" s="1"/>
  <c r="N844" i="1"/>
  <c r="I845" i="1" s="1"/>
  <c r="M844" i="1" l="1"/>
  <c r="H845" i="1" s="1"/>
  <c r="N845" i="1" s="1"/>
  <c r="I846" i="1" s="1"/>
  <c r="J845" i="1" l="1"/>
  <c r="K845" i="1" s="1"/>
  <c r="L845" i="1" s="1"/>
  <c r="G846" i="1" s="1"/>
  <c r="M845" i="1"/>
  <c r="H846" i="1" s="1"/>
  <c r="N846" i="1" l="1"/>
  <c r="I847" i="1" s="1"/>
  <c r="J846" i="1"/>
  <c r="K846" i="1" s="1"/>
  <c r="L846" i="1" s="1"/>
  <c r="G847" i="1" s="1"/>
  <c r="M846" i="1" l="1"/>
  <c r="H847" i="1" s="1"/>
  <c r="J847" i="1" l="1"/>
  <c r="K847" i="1" s="1"/>
  <c r="L847" i="1" s="1"/>
  <c r="G848" i="1" s="1"/>
  <c r="N847" i="1"/>
  <c r="I848" i="1" s="1"/>
  <c r="M847" i="1" l="1"/>
  <c r="H848" i="1" s="1"/>
  <c r="N848" i="1" s="1"/>
  <c r="I849" i="1" s="1"/>
  <c r="J848" i="1" l="1"/>
  <c r="K848" i="1" s="1"/>
  <c r="L848" i="1" s="1"/>
  <c r="G849" i="1" s="1"/>
  <c r="M848" i="1"/>
  <c r="H849" i="1" s="1"/>
  <c r="N849" i="1" l="1"/>
  <c r="I850" i="1" s="1"/>
  <c r="J849" i="1"/>
  <c r="K849" i="1" s="1"/>
  <c r="L849" i="1" s="1"/>
  <c r="G850" i="1" s="1"/>
  <c r="M849" i="1" l="1"/>
  <c r="H850" i="1" s="1"/>
  <c r="J850" i="1" l="1"/>
  <c r="K850" i="1" s="1"/>
  <c r="L850" i="1" s="1"/>
  <c r="G851" i="1" s="1"/>
  <c r="N850" i="1"/>
  <c r="I851" i="1" s="1"/>
  <c r="M850" i="1" l="1"/>
  <c r="H851" i="1" s="1"/>
  <c r="N851" i="1" s="1"/>
  <c r="I852" i="1" s="1"/>
  <c r="J851" i="1" l="1"/>
  <c r="K851" i="1" s="1"/>
  <c r="L851" i="1" s="1"/>
  <c r="G852" i="1" s="1"/>
  <c r="M851" i="1"/>
  <c r="H852" i="1" s="1"/>
  <c r="N852" i="1" l="1"/>
  <c r="I853" i="1" s="1"/>
  <c r="J852" i="1"/>
  <c r="K852" i="1" s="1"/>
  <c r="L852" i="1" s="1"/>
  <c r="G853" i="1" s="1"/>
  <c r="M852" i="1" l="1"/>
  <c r="H853" i="1" s="1"/>
  <c r="J853" i="1" l="1"/>
  <c r="K853" i="1" s="1"/>
  <c r="L853" i="1" s="1"/>
  <c r="G854" i="1" s="1"/>
  <c r="N853" i="1"/>
  <c r="I854" i="1" s="1"/>
  <c r="M853" i="1" l="1"/>
  <c r="H854" i="1" s="1"/>
  <c r="N854" i="1" s="1"/>
  <c r="I855" i="1" s="1"/>
  <c r="J854" i="1" l="1"/>
  <c r="K854" i="1" s="1"/>
  <c r="L854" i="1" s="1"/>
  <c r="G855" i="1" s="1"/>
  <c r="M854" i="1" l="1"/>
  <c r="H855" i="1" s="1"/>
  <c r="N855" i="1" s="1"/>
  <c r="I856" i="1" s="1"/>
  <c r="J855" i="1" l="1"/>
  <c r="K855" i="1" s="1"/>
  <c r="L855" i="1" s="1"/>
  <c r="G856" i="1" s="1"/>
  <c r="M855" i="1" l="1"/>
  <c r="H856" i="1" s="1"/>
  <c r="J856" i="1" s="1"/>
  <c r="K856" i="1" s="1"/>
  <c r="L856" i="1" s="1"/>
  <c r="G857" i="1" s="1"/>
  <c r="N856" i="1" l="1"/>
  <c r="I857" i="1" s="1"/>
  <c r="M856" i="1"/>
  <c r="H857" i="1" s="1"/>
  <c r="J857" i="1" s="1"/>
  <c r="K857" i="1" s="1"/>
  <c r="L857" i="1" s="1"/>
  <c r="G858" i="1" s="1"/>
  <c r="N857" i="1" l="1"/>
  <c r="I858" i="1" s="1"/>
  <c r="M857" i="1"/>
  <c r="H858" i="1" s="1"/>
  <c r="N858" i="1" l="1"/>
  <c r="I859" i="1" s="1"/>
  <c r="J858" i="1"/>
  <c r="K858" i="1" s="1"/>
  <c r="L858" i="1" s="1"/>
  <c r="G859" i="1" s="1"/>
  <c r="M858" i="1" l="1"/>
  <c r="H859" i="1" s="1"/>
  <c r="J859" i="1" l="1"/>
  <c r="K859" i="1" s="1"/>
  <c r="L859" i="1" s="1"/>
  <c r="G860" i="1" s="1"/>
  <c r="N859" i="1"/>
  <c r="I860" i="1" s="1"/>
  <c r="M859" i="1" l="1"/>
  <c r="H860" i="1" s="1"/>
  <c r="N860" i="1" s="1"/>
  <c r="I861" i="1" s="1"/>
  <c r="J860" i="1" l="1"/>
  <c r="K860" i="1" s="1"/>
  <c r="L860" i="1" s="1"/>
  <c r="G861" i="1" s="1"/>
  <c r="M860" i="1" l="1"/>
  <c r="H861" i="1" s="1"/>
  <c r="N861" i="1" s="1"/>
  <c r="I862" i="1" s="1"/>
  <c r="J861" i="1" l="1"/>
  <c r="K861" i="1" s="1"/>
  <c r="L861" i="1" s="1"/>
  <c r="G862" i="1" s="1"/>
  <c r="M861" i="1" l="1"/>
  <c r="H862" i="1" s="1"/>
  <c r="J862" i="1" s="1"/>
  <c r="K862" i="1" s="1"/>
  <c r="L862" i="1" s="1"/>
  <c r="G863" i="1" s="1"/>
  <c r="N862" i="1" l="1"/>
  <c r="I863" i="1" s="1"/>
  <c r="M862" i="1"/>
  <c r="H863" i="1" s="1"/>
  <c r="J863" i="1" s="1"/>
  <c r="K863" i="1" s="1"/>
  <c r="L863" i="1" s="1"/>
  <c r="G864" i="1" s="1"/>
  <c r="N863" i="1" l="1"/>
  <c r="I864" i="1" s="1"/>
  <c r="M863" i="1"/>
  <c r="H864" i="1" s="1"/>
  <c r="N864" i="1" l="1"/>
  <c r="I865" i="1" s="1"/>
  <c r="J864" i="1"/>
  <c r="K864" i="1" s="1"/>
  <c r="L864" i="1" s="1"/>
  <c r="G865" i="1" s="1"/>
  <c r="M864" i="1" l="1"/>
  <c r="H865" i="1" s="1"/>
  <c r="J865" i="1" l="1"/>
  <c r="K865" i="1" s="1"/>
  <c r="L865" i="1" s="1"/>
  <c r="G866" i="1" s="1"/>
  <c r="N865" i="1"/>
  <c r="I866" i="1" s="1"/>
  <c r="M865" i="1" l="1"/>
  <c r="H866" i="1" s="1"/>
  <c r="N866" i="1" s="1"/>
  <c r="I867" i="1" s="1"/>
  <c r="J866" i="1" l="1"/>
  <c r="K866" i="1" s="1"/>
  <c r="L866" i="1" s="1"/>
  <c r="G867" i="1" s="1"/>
  <c r="M866" i="1" l="1"/>
  <c r="H867" i="1" s="1"/>
  <c r="N867" i="1" s="1"/>
  <c r="I868" i="1" s="1"/>
  <c r="J867" i="1" l="1"/>
  <c r="K867" i="1" s="1"/>
  <c r="L867" i="1" s="1"/>
  <c r="G868" i="1" s="1"/>
  <c r="M867" i="1" l="1"/>
  <c r="H868" i="1" s="1"/>
  <c r="J868" i="1" s="1"/>
  <c r="K868" i="1" s="1"/>
  <c r="L868" i="1" s="1"/>
  <c r="G869" i="1" s="1"/>
  <c r="N868" i="1" l="1"/>
  <c r="I869" i="1" s="1"/>
  <c r="M868" i="1"/>
  <c r="H869" i="1" s="1"/>
  <c r="J869" i="1" s="1"/>
  <c r="K869" i="1" s="1"/>
  <c r="L869" i="1" s="1"/>
  <c r="G870" i="1" s="1"/>
  <c r="N869" i="1" l="1"/>
  <c r="I870" i="1" s="1"/>
  <c r="M869" i="1"/>
  <c r="H870" i="1" s="1"/>
  <c r="N870" i="1" l="1"/>
  <c r="I871" i="1" s="1"/>
  <c r="J870" i="1"/>
  <c r="K870" i="1" s="1"/>
  <c r="L870" i="1" s="1"/>
  <c r="G871" i="1" s="1"/>
  <c r="M870" i="1" l="1"/>
  <c r="H871" i="1" s="1"/>
  <c r="J871" i="1" l="1"/>
  <c r="K871" i="1" s="1"/>
  <c r="L871" i="1" s="1"/>
  <c r="G872" i="1" s="1"/>
  <c r="N871" i="1"/>
  <c r="I872" i="1" s="1"/>
  <c r="M871" i="1" l="1"/>
  <c r="H872" i="1" s="1"/>
  <c r="N872" i="1" s="1"/>
  <c r="I873" i="1" s="1"/>
  <c r="J872" i="1" l="1"/>
  <c r="K872" i="1" s="1"/>
  <c r="L872" i="1" s="1"/>
  <c r="G873" i="1" s="1"/>
  <c r="M872" i="1" l="1"/>
  <c r="H873" i="1" s="1"/>
  <c r="N873" i="1" s="1"/>
  <c r="I874" i="1" s="1"/>
  <c r="J873" i="1" l="1"/>
  <c r="K873" i="1" s="1"/>
  <c r="L873" i="1" s="1"/>
  <c r="G874" i="1" s="1"/>
  <c r="M873" i="1" l="1"/>
  <c r="H874" i="1" s="1"/>
  <c r="J874" i="1" s="1"/>
  <c r="K874" i="1" s="1"/>
  <c r="L874" i="1" s="1"/>
  <c r="G875" i="1" s="1"/>
  <c r="N874" i="1" l="1"/>
  <c r="I875" i="1" s="1"/>
  <c r="M874" i="1"/>
  <c r="H875" i="1" s="1"/>
  <c r="J875" i="1" s="1"/>
  <c r="K875" i="1" s="1"/>
  <c r="L875" i="1" s="1"/>
  <c r="G876" i="1" s="1"/>
  <c r="N875" i="1" l="1"/>
  <c r="I876" i="1" s="1"/>
  <c r="M875" i="1"/>
  <c r="H876" i="1" s="1"/>
  <c r="N876" i="1" l="1"/>
  <c r="I877" i="1" s="1"/>
  <c r="J876" i="1"/>
  <c r="K876" i="1" s="1"/>
  <c r="L876" i="1" s="1"/>
  <c r="G877" i="1" s="1"/>
  <c r="M876" i="1" l="1"/>
  <c r="H877" i="1" s="1"/>
  <c r="J877" i="1" l="1"/>
  <c r="K877" i="1" s="1"/>
  <c r="L877" i="1" s="1"/>
  <c r="G878" i="1" s="1"/>
  <c r="N877" i="1"/>
  <c r="I878" i="1" s="1"/>
  <c r="M877" i="1" l="1"/>
  <c r="H878" i="1" s="1"/>
  <c r="N878" i="1" s="1"/>
  <c r="I879" i="1" s="1"/>
  <c r="J878" i="1" l="1"/>
  <c r="K878" i="1" s="1"/>
  <c r="L878" i="1" s="1"/>
  <c r="G879" i="1" s="1"/>
  <c r="M878" i="1" l="1"/>
  <c r="H879" i="1" s="1"/>
  <c r="N879" i="1" s="1"/>
  <c r="I880" i="1" s="1"/>
  <c r="J879" i="1" l="1"/>
  <c r="K879" i="1" s="1"/>
  <c r="L879" i="1" s="1"/>
  <c r="G880" i="1" s="1"/>
  <c r="M879" i="1" l="1"/>
  <c r="H880" i="1" s="1"/>
  <c r="J880" i="1" s="1"/>
  <c r="K880" i="1" s="1"/>
  <c r="L880" i="1" s="1"/>
  <c r="G881" i="1" s="1"/>
  <c r="N880" i="1" l="1"/>
  <c r="I881" i="1" s="1"/>
  <c r="M880" i="1"/>
  <c r="H881" i="1" s="1"/>
  <c r="J881" i="1" s="1"/>
  <c r="K881" i="1" s="1"/>
  <c r="L881" i="1" s="1"/>
  <c r="G882" i="1" s="1"/>
  <c r="N881" i="1" l="1"/>
  <c r="I882" i="1" s="1"/>
  <c r="M881" i="1"/>
  <c r="H882" i="1" s="1"/>
  <c r="N882" i="1" l="1"/>
  <c r="I883" i="1" s="1"/>
  <c r="J882" i="1"/>
  <c r="K882" i="1" s="1"/>
  <c r="L882" i="1" s="1"/>
  <c r="G883" i="1" s="1"/>
  <c r="M882" i="1" l="1"/>
  <c r="H883" i="1" s="1"/>
  <c r="J883" i="1" l="1"/>
  <c r="K883" i="1" s="1"/>
  <c r="L883" i="1" s="1"/>
  <c r="G884" i="1" s="1"/>
  <c r="N883" i="1"/>
  <c r="I884" i="1" s="1"/>
  <c r="M883" i="1" l="1"/>
  <c r="H884" i="1" s="1"/>
  <c r="N884" i="1" s="1"/>
  <c r="I885" i="1" s="1"/>
  <c r="J884" i="1" l="1"/>
  <c r="K884" i="1" s="1"/>
  <c r="L884" i="1" s="1"/>
  <c r="G885" i="1" s="1"/>
  <c r="M884" i="1" l="1"/>
  <c r="H885" i="1" s="1"/>
  <c r="N885" i="1" s="1"/>
  <c r="I886" i="1" s="1"/>
  <c r="J885" i="1" l="1"/>
  <c r="K885" i="1" s="1"/>
  <c r="L885" i="1" s="1"/>
  <c r="G886" i="1" s="1"/>
  <c r="M885" i="1" l="1"/>
  <c r="H886" i="1" s="1"/>
  <c r="J886" i="1" s="1"/>
  <c r="K886" i="1" s="1"/>
  <c r="L886" i="1" s="1"/>
  <c r="G887" i="1" s="1"/>
  <c r="N886" i="1"/>
  <c r="I887" i="1" s="1"/>
  <c r="M886" i="1" l="1"/>
  <c r="H887" i="1" s="1"/>
  <c r="N887" i="1" s="1"/>
  <c r="I888" i="1" s="1"/>
  <c r="J887" i="1" l="1"/>
  <c r="K887" i="1" s="1"/>
  <c r="L887" i="1" s="1"/>
  <c r="G888" i="1" s="1"/>
  <c r="M887" i="1" l="1"/>
  <c r="H888" i="1" s="1"/>
  <c r="N888" i="1" s="1"/>
  <c r="I889" i="1" s="1"/>
  <c r="J888" i="1" l="1"/>
  <c r="K888" i="1" s="1"/>
  <c r="L888" i="1" s="1"/>
  <c r="G889" i="1" s="1"/>
  <c r="M888" i="1" l="1"/>
  <c r="H889" i="1" s="1"/>
  <c r="J889" i="1" s="1"/>
  <c r="K889" i="1" s="1"/>
  <c r="N889" i="1"/>
  <c r="I890" i="1" s="1"/>
  <c r="L889" i="1" l="1"/>
  <c r="G890" i="1" s="1"/>
  <c r="M889" i="1"/>
  <c r="H890" i="1" s="1"/>
  <c r="N890" i="1" s="1"/>
  <c r="I891" i="1" s="1"/>
  <c r="J890" i="1" l="1"/>
  <c r="K890" i="1" s="1"/>
  <c r="L890" i="1" s="1"/>
  <c r="G891" i="1" s="1"/>
  <c r="M890" i="1" l="1"/>
  <c r="H891" i="1" s="1"/>
  <c r="N891" i="1" s="1"/>
  <c r="I892" i="1" s="1"/>
  <c r="J891" i="1" l="1"/>
  <c r="K891" i="1" s="1"/>
  <c r="L891" i="1" s="1"/>
  <c r="G892" i="1" s="1"/>
  <c r="M891" i="1" l="1"/>
  <c r="H892" i="1" s="1"/>
  <c r="J892" i="1" s="1"/>
  <c r="K892" i="1" s="1"/>
  <c r="L892" i="1" s="1"/>
  <c r="G893" i="1" s="1"/>
  <c r="N892" i="1" l="1"/>
  <c r="I893" i="1" s="1"/>
  <c r="M892" i="1"/>
  <c r="H893" i="1" s="1"/>
  <c r="J893" i="1" s="1"/>
  <c r="K893" i="1" s="1"/>
  <c r="L893" i="1" s="1"/>
  <c r="G894" i="1" s="1"/>
  <c r="N893" i="1" l="1"/>
  <c r="I894" i="1" s="1"/>
  <c r="M893" i="1"/>
  <c r="H894" i="1" s="1"/>
  <c r="N894" i="1" l="1"/>
  <c r="I895" i="1" s="1"/>
  <c r="J894" i="1"/>
  <c r="K894" i="1" s="1"/>
  <c r="L894" i="1" s="1"/>
  <c r="G895" i="1" s="1"/>
  <c r="M894" i="1" l="1"/>
  <c r="H895" i="1" s="1"/>
  <c r="J895" i="1" l="1"/>
  <c r="K895" i="1" s="1"/>
  <c r="L895" i="1" s="1"/>
  <c r="G896" i="1" s="1"/>
  <c r="N895" i="1"/>
  <c r="I896" i="1" s="1"/>
  <c r="M895" i="1" l="1"/>
  <c r="H896" i="1" s="1"/>
  <c r="N896" i="1" s="1"/>
  <c r="I897" i="1" s="1"/>
  <c r="J896" i="1" l="1"/>
  <c r="K896" i="1" s="1"/>
  <c r="L896" i="1" s="1"/>
  <c r="G897" i="1" s="1"/>
  <c r="M896" i="1" l="1"/>
  <c r="H897" i="1" s="1"/>
  <c r="N897" i="1" s="1"/>
  <c r="I898" i="1" s="1"/>
  <c r="J897" i="1" l="1"/>
  <c r="K897" i="1" s="1"/>
  <c r="L897" i="1" s="1"/>
  <c r="G898" i="1" s="1"/>
  <c r="M897" i="1" l="1"/>
  <c r="H898" i="1" s="1"/>
  <c r="J898" i="1" s="1"/>
  <c r="K898" i="1" s="1"/>
  <c r="L898" i="1" s="1"/>
  <c r="G899" i="1" s="1"/>
  <c r="N898" i="1" l="1"/>
  <c r="I899" i="1" s="1"/>
  <c r="M898" i="1"/>
  <c r="H899" i="1" s="1"/>
  <c r="J899" i="1" s="1"/>
  <c r="K899" i="1" s="1"/>
  <c r="L899" i="1" s="1"/>
  <c r="G900" i="1" s="1"/>
  <c r="N899" i="1" l="1"/>
  <c r="I900" i="1" s="1"/>
  <c r="M899" i="1"/>
  <c r="H900" i="1" s="1"/>
  <c r="N900" i="1" l="1"/>
  <c r="I901" i="1" s="1"/>
  <c r="J900" i="1"/>
  <c r="K900" i="1" s="1"/>
  <c r="L900" i="1" s="1"/>
  <c r="G901" i="1" s="1"/>
  <c r="M900" i="1" l="1"/>
  <c r="H901" i="1" s="1"/>
  <c r="J901" i="1" l="1"/>
  <c r="K901" i="1" s="1"/>
  <c r="L901" i="1" s="1"/>
  <c r="G902" i="1" s="1"/>
  <c r="N901" i="1"/>
  <c r="I902" i="1" s="1"/>
  <c r="M901" i="1" l="1"/>
  <c r="H902" i="1" s="1"/>
  <c r="N902" i="1" s="1"/>
  <c r="I903" i="1" s="1"/>
  <c r="J902" i="1" l="1"/>
  <c r="K902" i="1" s="1"/>
  <c r="L902" i="1" s="1"/>
  <c r="G903" i="1" s="1"/>
  <c r="M902" i="1" l="1"/>
  <c r="H903" i="1" s="1"/>
  <c r="N903" i="1" s="1"/>
  <c r="I904" i="1" s="1"/>
  <c r="J903" i="1" l="1"/>
  <c r="K903" i="1" s="1"/>
  <c r="L903" i="1" s="1"/>
  <c r="G904" i="1" s="1"/>
  <c r="M903" i="1" l="1"/>
  <c r="H904" i="1" s="1"/>
  <c r="J904" i="1" s="1"/>
  <c r="K904" i="1" s="1"/>
  <c r="L904" i="1" s="1"/>
  <c r="G905" i="1" s="1"/>
  <c r="N904" i="1" l="1"/>
  <c r="I905" i="1" s="1"/>
  <c r="M904" i="1"/>
  <c r="H905" i="1" s="1"/>
  <c r="J905" i="1" s="1"/>
  <c r="K905" i="1" s="1"/>
  <c r="L905" i="1" s="1"/>
  <c r="G906" i="1" s="1"/>
  <c r="N905" i="1" l="1"/>
  <c r="I906" i="1" s="1"/>
  <c r="M905" i="1"/>
  <c r="H906" i="1" s="1"/>
  <c r="N906" i="1" l="1"/>
  <c r="I907" i="1" s="1"/>
  <c r="J906" i="1"/>
  <c r="K906" i="1" s="1"/>
  <c r="L906" i="1" s="1"/>
  <c r="G907" i="1" s="1"/>
  <c r="M906" i="1" l="1"/>
  <c r="H907" i="1" s="1"/>
  <c r="J907" i="1" l="1"/>
  <c r="K907" i="1" s="1"/>
  <c r="L907" i="1" s="1"/>
  <c r="G908" i="1" s="1"/>
  <c r="N907" i="1"/>
  <c r="I908" i="1" s="1"/>
  <c r="M907" i="1" l="1"/>
  <c r="H908" i="1" s="1"/>
  <c r="N908" i="1" s="1"/>
  <c r="I909" i="1" s="1"/>
  <c r="J908" i="1" l="1"/>
  <c r="K908" i="1" s="1"/>
  <c r="L908" i="1" s="1"/>
  <c r="G909" i="1" s="1"/>
  <c r="M908" i="1" l="1"/>
  <c r="H909" i="1" s="1"/>
  <c r="N909" i="1" s="1"/>
  <c r="I910" i="1" s="1"/>
  <c r="J909" i="1" l="1"/>
  <c r="K909" i="1" s="1"/>
  <c r="L909" i="1" s="1"/>
  <c r="G910" i="1" s="1"/>
  <c r="M909" i="1" l="1"/>
  <c r="H910" i="1" s="1"/>
  <c r="J910" i="1" s="1"/>
  <c r="K910" i="1" s="1"/>
  <c r="L910" i="1" s="1"/>
  <c r="G911" i="1" s="1"/>
  <c r="N910" i="1" l="1"/>
  <c r="I911" i="1" s="1"/>
  <c r="M910" i="1"/>
  <c r="H911" i="1" s="1"/>
  <c r="N911" i="1" s="1"/>
  <c r="I912" i="1" s="1"/>
  <c r="J911" i="1" l="1"/>
  <c r="K911" i="1" s="1"/>
  <c r="L911" i="1" s="1"/>
  <c r="G912" i="1" s="1"/>
  <c r="M911" i="1"/>
  <c r="H912" i="1" s="1"/>
  <c r="N912" i="1" l="1"/>
  <c r="I913" i="1" s="1"/>
  <c r="J912" i="1"/>
  <c r="K912" i="1" s="1"/>
  <c r="L912" i="1" s="1"/>
  <c r="G913" i="1" s="1"/>
  <c r="M912" i="1" l="1"/>
  <c r="H913" i="1" s="1"/>
  <c r="J913" i="1" l="1"/>
  <c r="K913" i="1" s="1"/>
  <c r="L913" i="1" s="1"/>
  <c r="G914" i="1" s="1"/>
  <c r="N913" i="1"/>
  <c r="I914" i="1" s="1"/>
  <c r="M913" i="1" l="1"/>
  <c r="H914" i="1" s="1"/>
  <c r="N914" i="1" s="1"/>
  <c r="I915" i="1" s="1"/>
  <c r="J914" i="1" l="1"/>
  <c r="K914" i="1" s="1"/>
  <c r="L914" i="1" s="1"/>
  <c r="G915" i="1" s="1"/>
  <c r="M914" i="1" l="1"/>
  <c r="H915" i="1" s="1"/>
  <c r="N915" i="1"/>
  <c r="I916" i="1" s="1"/>
  <c r="J915" i="1"/>
  <c r="K915" i="1" s="1"/>
  <c r="L915" i="1" s="1"/>
  <c r="G916" i="1" s="1"/>
  <c r="M915" i="1" l="1"/>
  <c r="H916" i="1" s="1"/>
  <c r="J916" i="1" l="1"/>
  <c r="K916" i="1" s="1"/>
  <c r="L916" i="1" s="1"/>
  <c r="G917" i="1" s="1"/>
  <c r="N916" i="1"/>
  <c r="I917" i="1" s="1"/>
  <c r="M916" i="1" l="1"/>
  <c r="H917" i="1" s="1"/>
  <c r="N917" i="1" s="1"/>
  <c r="I918" i="1" s="1"/>
  <c r="J917" i="1" l="1"/>
  <c r="K917" i="1" s="1"/>
  <c r="L917" i="1" s="1"/>
  <c r="G918" i="1" s="1"/>
  <c r="M917" i="1" l="1"/>
  <c r="H918" i="1" s="1"/>
  <c r="N918" i="1" s="1"/>
  <c r="I919" i="1" s="1"/>
  <c r="J918" i="1" l="1"/>
  <c r="K918" i="1" s="1"/>
  <c r="L918" i="1" s="1"/>
  <c r="G919" i="1" s="1"/>
  <c r="M918" i="1" l="1"/>
  <c r="H919" i="1" s="1"/>
  <c r="J919" i="1" s="1"/>
  <c r="K919" i="1" s="1"/>
  <c r="L919" i="1" s="1"/>
  <c r="G920" i="1" s="1"/>
  <c r="N919" i="1" l="1"/>
  <c r="I920" i="1" s="1"/>
  <c r="M919" i="1"/>
  <c r="H920" i="1" s="1"/>
  <c r="J920" i="1" s="1"/>
  <c r="K920" i="1" s="1"/>
  <c r="L920" i="1" s="1"/>
  <c r="G921" i="1" s="1"/>
  <c r="N920" i="1" l="1"/>
  <c r="I921" i="1" s="1"/>
  <c r="M920" i="1"/>
  <c r="H921" i="1" s="1"/>
  <c r="N921" i="1" l="1"/>
  <c r="I922" i="1" s="1"/>
  <c r="J921" i="1"/>
  <c r="K921" i="1" s="1"/>
  <c r="L921" i="1" s="1"/>
  <c r="G922" i="1" s="1"/>
  <c r="M921" i="1" l="1"/>
  <c r="H922" i="1" s="1"/>
  <c r="J922" i="1" l="1"/>
  <c r="K922" i="1" s="1"/>
  <c r="L922" i="1" s="1"/>
  <c r="G923" i="1" s="1"/>
  <c r="N922" i="1"/>
  <c r="I923" i="1" s="1"/>
  <c r="M922" i="1" l="1"/>
  <c r="H923" i="1" s="1"/>
  <c r="N923" i="1" s="1"/>
  <c r="I924" i="1" s="1"/>
  <c r="J923" i="1" l="1"/>
  <c r="K923" i="1" s="1"/>
  <c r="L923" i="1" s="1"/>
  <c r="G924" i="1" s="1"/>
  <c r="M923" i="1" l="1"/>
  <c r="H924" i="1" s="1"/>
  <c r="N924" i="1" s="1"/>
  <c r="I925" i="1" s="1"/>
  <c r="J924" i="1" l="1"/>
  <c r="K924" i="1" s="1"/>
  <c r="L924" i="1" s="1"/>
  <c r="G925" i="1" s="1"/>
  <c r="M924" i="1"/>
  <c r="H925" i="1" s="1"/>
  <c r="J925" i="1" l="1"/>
  <c r="K925" i="1" s="1"/>
  <c r="L925" i="1" s="1"/>
  <c r="G926" i="1" s="1"/>
  <c r="N925" i="1"/>
  <c r="I926" i="1" s="1"/>
  <c r="M925" i="1" l="1"/>
  <c r="H926" i="1" s="1"/>
  <c r="N926" i="1"/>
  <c r="I927" i="1" s="1"/>
  <c r="J926" i="1"/>
  <c r="K926" i="1" s="1"/>
  <c r="L926" i="1" s="1"/>
  <c r="G927" i="1" s="1"/>
  <c r="M926" i="1" l="1"/>
  <c r="H927" i="1" s="1"/>
  <c r="N927" i="1" l="1"/>
  <c r="I928" i="1" s="1"/>
  <c r="J927" i="1"/>
  <c r="K927" i="1" s="1"/>
  <c r="L927" i="1" s="1"/>
  <c r="G928" i="1" s="1"/>
  <c r="M927" i="1" l="1"/>
  <c r="H928" i="1" s="1"/>
  <c r="J928" i="1" l="1"/>
  <c r="K928" i="1" s="1"/>
  <c r="L928" i="1" s="1"/>
  <c r="G929" i="1" s="1"/>
  <c r="N928" i="1"/>
  <c r="I929" i="1" s="1"/>
  <c r="M928" i="1" l="1"/>
  <c r="H929" i="1" s="1"/>
  <c r="N929" i="1" s="1"/>
  <c r="I930" i="1" s="1"/>
  <c r="J929" i="1" l="1"/>
  <c r="K929" i="1" s="1"/>
  <c r="L929" i="1" s="1"/>
  <c r="G930" i="1" s="1"/>
  <c r="M929" i="1" l="1"/>
  <c r="H930" i="1" s="1"/>
  <c r="N930" i="1" s="1"/>
  <c r="I931" i="1" s="1"/>
  <c r="J930" i="1" l="1"/>
  <c r="K930" i="1" s="1"/>
  <c r="L930" i="1" s="1"/>
  <c r="G931" i="1" s="1"/>
  <c r="M930" i="1" l="1"/>
  <c r="H931" i="1" s="1"/>
  <c r="J931" i="1" s="1"/>
  <c r="K931" i="1" s="1"/>
  <c r="L931" i="1" s="1"/>
  <c r="G932" i="1" s="1"/>
  <c r="N931" i="1" l="1"/>
  <c r="I932" i="1" s="1"/>
  <c r="M931" i="1"/>
  <c r="H932" i="1" s="1"/>
  <c r="N932" i="1" l="1"/>
  <c r="I933" i="1" s="1"/>
  <c r="J932" i="1"/>
  <c r="K932" i="1" s="1"/>
  <c r="L932" i="1" s="1"/>
  <c r="G933" i="1" s="1"/>
  <c r="M932" i="1" l="1"/>
  <c r="H933" i="1" s="1"/>
  <c r="N933" i="1" s="1"/>
  <c r="I934" i="1" s="1"/>
  <c r="J933" i="1" l="1"/>
  <c r="K933" i="1" s="1"/>
  <c r="L933" i="1" s="1"/>
  <c r="G934" i="1" s="1"/>
  <c r="M933" i="1" l="1"/>
  <c r="H934" i="1" s="1"/>
  <c r="J934" i="1" s="1"/>
  <c r="K934" i="1" s="1"/>
  <c r="L934" i="1" s="1"/>
  <c r="G935" i="1" s="1"/>
  <c r="N934" i="1" l="1"/>
  <c r="I935" i="1" s="1"/>
  <c r="M934" i="1"/>
  <c r="H935" i="1" s="1"/>
  <c r="N935" i="1" l="1"/>
  <c r="I936" i="1" s="1"/>
  <c r="J935" i="1"/>
  <c r="K935" i="1" s="1"/>
  <c r="L935" i="1" s="1"/>
  <c r="G936" i="1" s="1"/>
  <c r="M935" i="1" l="1"/>
  <c r="H936" i="1" s="1"/>
  <c r="N936" i="1" s="1"/>
  <c r="I937" i="1" s="1"/>
  <c r="J936" i="1" l="1"/>
  <c r="K936" i="1" s="1"/>
  <c r="L936" i="1" s="1"/>
  <c r="G937" i="1" s="1"/>
  <c r="M936" i="1" l="1"/>
  <c r="H937" i="1" s="1"/>
  <c r="J937" i="1" s="1"/>
  <c r="K937" i="1" s="1"/>
  <c r="L937" i="1" s="1"/>
  <c r="G938" i="1" s="1"/>
  <c r="N937" i="1" l="1"/>
  <c r="I938" i="1" s="1"/>
  <c r="M937" i="1"/>
  <c r="H938" i="1" s="1"/>
  <c r="N938" i="1" s="1"/>
  <c r="I939" i="1" s="1"/>
  <c r="J938" i="1" l="1"/>
  <c r="K938" i="1" s="1"/>
  <c r="L938" i="1" s="1"/>
  <c r="G939" i="1" s="1"/>
  <c r="M938" i="1" l="1"/>
  <c r="H939" i="1" s="1"/>
  <c r="N939" i="1" s="1"/>
  <c r="I940" i="1" s="1"/>
  <c r="J939" i="1" l="1"/>
  <c r="K939" i="1" s="1"/>
  <c r="L939" i="1" s="1"/>
  <c r="G940" i="1" s="1"/>
  <c r="M939" i="1" l="1"/>
  <c r="H940" i="1" s="1"/>
  <c r="J940" i="1" s="1"/>
  <c r="K940" i="1" s="1"/>
  <c r="L940" i="1" s="1"/>
  <c r="G941" i="1" s="1"/>
  <c r="N940" i="1" l="1"/>
  <c r="I941" i="1" s="1"/>
  <c r="M940" i="1"/>
  <c r="H941" i="1" s="1"/>
  <c r="J941" i="1" s="1"/>
  <c r="K941" i="1" s="1"/>
  <c r="L941" i="1" s="1"/>
  <c r="G942" i="1" s="1"/>
  <c r="N941" i="1" l="1"/>
  <c r="I942" i="1" s="1"/>
  <c r="M941" i="1"/>
  <c r="H942" i="1" s="1"/>
  <c r="N942" i="1" l="1"/>
  <c r="I943" i="1" s="1"/>
  <c r="J942" i="1"/>
  <c r="K942" i="1" s="1"/>
  <c r="L942" i="1" s="1"/>
  <c r="G943" i="1" s="1"/>
  <c r="M942" i="1" l="1"/>
  <c r="H943" i="1" s="1"/>
  <c r="J943" i="1" l="1"/>
  <c r="K943" i="1" s="1"/>
  <c r="L943" i="1" s="1"/>
  <c r="G944" i="1" s="1"/>
  <c r="N943" i="1"/>
  <c r="I944" i="1" s="1"/>
  <c r="M943" i="1" l="1"/>
  <c r="H944" i="1" s="1"/>
  <c r="N944" i="1" s="1"/>
  <c r="I945" i="1" s="1"/>
  <c r="J944" i="1" l="1"/>
  <c r="K944" i="1" s="1"/>
  <c r="L944" i="1" s="1"/>
  <c r="G945" i="1" s="1"/>
  <c r="M944" i="1" l="1"/>
  <c r="H945" i="1" s="1"/>
  <c r="N945" i="1" s="1"/>
  <c r="I946" i="1" s="1"/>
  <c r="J945" i="1" l="1"/>
  <c r="K945" i="1" s="1"/>
  <c r="L945" i="1" s="1"/>
  <c r="G946" i="1" s="1"/>
  <c r="M945" i="1" l="1"/>
  <c r="H946" i="1" s="1"/>
  <c r="J946" i="1" s="1"/>
  <c r="K946" i="1" s="1"/>
  <c r="L946" i="1" s="1"/>
  <c r="G947" i="1" s="1"/>
  <c r="N946" i="1" l="1"/>
  <c r="I947" i="1" s="1"/>
  <c r="M946" i="1"/>
  <c r="H947" i="1" s="1"/>
  <c r="N947" i="1" l="1"/>
  <c r="I948" i="1" s="1"/>
  <c r="J947" i="1"/>
  <c r="K947" i="1" s="1"/>
  <c r="L947" i="1" s="1"/>
  <c r="G948" i="1" s="1"/>
  <c r="M947" i="1" l="1"/>
  <c r="H948" i="1" s="1"/>
  <c r="N948" i="1"/>
  <c r="I949" i="1" s="1"/>
  <c r="J948" i="1"/>
  <c r="K948" i="1" s="1"/>
  <c r="L948" i="1" s="1"/>
  <c r="G949" i="1" s="1"/>
  <c r="M948" i="1" l="1"/>
  <c r="H949" i="1" s="1"/>
  <c r="J949" i="1" l="1"/>
  <c r="K949" i="1" s="1"/>
  <c r="L949" i="1" s="1"/>
  <c r="G950" i="1" s="1"/>
  <c r="N949" i="1"/>
  <c r="I950" i="1" s="1"/>
  <c r="M949" i="1" l="1"/>
  <c r="H950" i="1" s="1"/>
  <c r="N950" i="1" s="1"/>
  <c r="I951" i="1" s="1"/>
  <c r="J950" i="1" l="1"/>
  <c r="K950" i="1" s="1"/>
  <c r="L950" i="1" s="1"/>
  <c r="G951" i="1" s="1"/>
  <c r="M950" i="1" l="1"/>
  <c r="H951" i="1" s="1"/>
  <c r="N951" i="1" s="1"/>
  <c r="I952" i="1" s="1"/>
  <c r="J951" i="1" l="1"/>
  <c r="K951" i="1" s="1"/>
  <c r="L951" i="1" s="1"/>
  <c r="G952" i="1" s="1"/>
  <c r="M951" i="1"/>
  <c r="H952" i="1" s="1"/>
  <c r="J952" i="1" l="1"/>
  <c r="K952" i="1" s="1"/>
  <c r="L952" i="1" s="1"/>
  <c r="G953" i="1" s="1"/>
  <c r="N952" i="1"/>
  <c r="I953" i="1" s="1"/>
  <c r="M952" i="1" l="1"/>
  <c r="H953" i="1" s="1"/>
  <c r="N953" i="1" s="1"/>
  <c r="I954" i="1" s="1"/>
  <c r="J953" i="1" l="1"/>
  <c r="K953" i="1" s="1"/>
  <c r="L953" i="1" s="1"/>
  <c r="G954" i="1" s="1"/>
  <c r="M953" i="1"/>
  <c r="H954" i="1" s="1"/>
  <c r="N954" i="1" l="1"/>
  <c r="I955" i="1" s="1"/>
  <c r="J954" i="1"/>
  <c r="K954" i="1" s="1"/>
  <c r="L954" i="1" s="1"/>
  <c r="G955" i="1" s="1"/>
  <c r="M954" i="1" l="1"/>
  <c r="H955" i="1" s="1"/>
  <c r="J955" i="1" l="1"/>
  <c r="K955" i="1" s="1"/>
  <c r="L955" i="1" s="1"/>
  <c r="G956" i="1" s="1"/>
  <c r="N955" i="1"/>
  <c r="I956" i="1" s="1"/>
  <c r="M955" i="1" l="1"/>
  <c r="H956" i="1" s="1"/>
  <c r="N956" i="1" s="1"/>
  <c r="I957" i="1" s="1"/>
  <c r="J956" i="1" l="1"/>
  <c r="K956" i="1" s="1"/>
  <c r="L956" i="1" s="1"/>
  <c r="G957" i="1" s="1"/>
  <c r="M956" i="1"/>
  <c r="H957" i="1" s="1"/>
  <c r="N957" i="1" l="1"/>
  <c r="I958" i="1" s="1"/>
  <c r="J957" i="1"/>
  <c r="K957" i="1" s="1"/>
  <c r="L957" i="1" s="1"/>
  <c r="G958" i="1" s="1"/>
  <c r="M957" i="1" l="1"/>
  <c r="H958" i="1" s="1"/>
  <c r="J958" i="1" l="1"/>
  <c r="K958" i="1" s="1"/>
  <c r="L958" i="1" s="1"/>
  <c r="G959" i="1" s="1"/>
  <c r="N958" i="1"/>
  <c r="I959" i="1" s="1"/>
  <c r="M958" i="1" l="1"/>
  <c r="H959" i="1" s="1"/>
  <c r="N959" i="1" s="1"/>
  <c r="I960" i="1" s="1"/>
  <c r="J959" i="1" l="1"/>
  <c r="K959" i="1" s="1"/>
  <c r="L959" i="1" s="1"/>
  <c r="G960" i="1" s="1"/>
  <c r="M959" i="1"/>
  <c r="H960" i="1" s="1"/>
  <c r="N960" i="1" l="1"/>
  <c r="I961" i="1" s="1"/>
  <c r="J960" i="1"/>
  <c r="K960" i="1" s="1"/>
  <c r="L960" i="1" s="1"/>
  <c r="G961" i="1" s="1"/>
  <c r="M960" i="1" l="1"/>
  <c r="H961" i="1" s="1"/>
  <c r="J961" i="1" l="1"/>
  <c r="K961" i="1" s="1"/>
  <c r="L961" i="1" s="1"/>
  <c r="G962" i="1" s="1"/>
  <c r="N961" i="1"/>
  <c r="I962" i="1" s="1"/>
  <c r="M961" i="1" l="1"/>
  <c r="H962" i="1" s="1"/>
  <c r="N962" i="1" s="1"/>
  <c r="I963" i="1" s="1"/>
  <c r="J962" i="1" l="1"/>
  <c r="K962" i="1" s="1"/>
  <c r="L962" i="1" s="1"/>
  <c r="G963" i="1" s="1"/>
  <c r="M962" i="1"/>
  <c r="H963" i="1" s="1"/>
  <c r="N963" i="1" l="1"/>
  <c r="I964" i="1" s="1"/>
  <c r="J963" i="1"/>
  <c r="K963" i="1" s="1"/>
  <c r="L963" i="1" s="1"/>
  <c r="G964" i="1" s="1"/>
  <c r="M963" i="1" l="1"/>
  <c r="H964" i="1" s="1"/>
  <c r="J964" i="1" l="1"/>
  <c r="K964" i="1" s="1"/>
  <c r="L964" i="1" s="1"/>
  <c r="G965" i="1" s="1"/>
  <c r="N964" i="1"/>
  <c r="I965" i="1" s="1"/>
  <c r="M964" i="1" l="1"/>
  <c r="H965" i="1" s="1"/>
  <c r="N965" i="1" s="1"/>
  <c r="I966" i="1" s="1"/>
  <c r="J965" i="1" l="1"/>
  <c r="K965" i="1" s="1"/>
  <c r="L965" i="1" s="1"/>
  <c r="G966" i="1" s="1"/>
  <c r="M965" i="1"/>
  <c r="H966" i="1" s="1"/>
  <c r="N966" i="1" l="1"/>
  <c r="I967" i="1" s="1"/>
  <c r="J966" i="1"/>
  <c r="K966" i="1" s="1"/>
  <c r="L966" i="1" s="1"/>
  <c r="G967" i="1" s="1"/>
  <c r="M966" i="1" l="1"/>
  <c r="H967" i="1" s="1"/>
  <c r="J967" i="1" l="1"/>
  <c r="K967" i="1" s="1"/>
  <c r="L967" i="1" s="1"/>
  <c r="G968" i="1" s="1"/>
  <c r="N967" i="1"/>
  <c r="I968" i="1" s="1"/>
  <c r="M967" i="1" l="1"/>
  <c r="H968" i="1" s="1"/>
  <c r="N968" i="1" s="1"/>
  <c r="I969" i="1" s="1"/>
  <c r="J968" i="1" l="1"/>
  <c r="K968" i="1" s="1"/>
  <c r="L968" i="1" s="1"/>
  <c r="G969" i="1" s="1"/>
  <c r="M968" i="1"/>
  <c r="H969" i="1" s="1"/>
  <c r="N969" i="1" l="1"/>
  <c r="I970" i="1" s="1"/>
  <c r="J969" i="1"/>
  <c r="K969" i="1" s="1"/>
  <c r="L969" i="1" s="1"/>
  <c r="G970" i="1" s="1"/>
  <c r="M969" i="1" l="1"/>
  <c r="H970" i="1" s="1"/>
  <c r="J970" i="1" l="1"/>
  <c r="K970" i="1" s="1"/>
  <c r="L970" i="1" s="1"/>
  <c r="G971" i="1" s="1"/>
  <c r="M970" i="1"/>
  <c r="H971" i="1" s="1"/>
  <c r="N970" i="1"/>
  <c r="I971" i="1" s="1"/>
  <c r="N971" i="1" l="1"/>
  <c r="J971" i="1"/>
  <c r="K971" i="1" s="1"/>
  <c r="L971" i="1" s="1"/>
  <c r="G972" i="1" s="1"/>
  <c r="I972" i="1"/>
  <c r="M971" i="1" l="1"/>
  <c r="H972" i="1" s="1"/>
  <c r="N972" i="1" l="1"/>
  <c r="I973" i="1" s="1"/>
  <c r="J972" i="1"/>
  <c r="K972" i="1" s="1"/>
  <c r="L972" i="1" s="1"/>
  <c r="G973" i="1" s="1"/>
  <c r="M972" i="1" l="1"/>
  <c r="H973" i="1" s="1"/>
  <c r="J973" i="1" l="1"/>
  <c r="K973" i="1" s="1"/>
  <c r="L973" i="1" s="1"/>
  <c r="G974" i="1" s="1"/>
  <c r="N973" i="1"/>
  <c r="I974" i="1" s="1"/>
  <c r="M973" i="1" l="1"/>
  <c r="H974" i="1" s="1"/>
  <c r="N974" i="1"/>
  <c r="I975" i="1" s="1"/>
  <c r="J974" i="1"/>
  <c r="K974" i="1" s="1"/>
  <c r="L974" i="1" s="1"/>
  <c r="G975" i="1" s="1"/>
  <c r="M974" i="1" l="1"/>
  <c r="H975" i="1" s="1"/>
  <c r="N975" i="1" l="1"/>
  <c r="I976" i="1" s="1"/>
  <c r="J975" i="1"/>
  <c r="K975" i="1" s="1"/>
  <c r="L975" i="1" s="1"/>
  <c r="G976" i="1" s="1"/>
  <c r="M975" i="1" l="1"/>
  <c r="H976" i="1" s="1"/>
  <c r="J976" i="1" l="1"/>
  <c r="K976" i="1" s="1"/>
  <c r="L976" i="1" s="1"/>
  <c r="G977" i="1" s="1"/>
  <c r="M976" i="1"/>
  <c r="H977" i="1" s="1"/>
  <c r="N976" i="1"/>
  <c r="I977" i="1" s="1"/>
  <c r="N977" i="1" l="1"/>
  <c r="I978" i="1" s="1"/>
  <c r="J977" i="1"/>
  <c r="K977" i="1" s="1"/>
  <c r="L977" i="1" s="1"/>
  <c r="G978" i="1" s="1"/>
  <c r="M977" i="1" l="1"/>
  <c r="H978" i="1" s="1"/>
  <c r="N978" i="1" l="1"/>
  <c r="I979" i="1" s="1"/>
  <c r="J978" i="1"/>
  <c r="K978" i="1" s="1"/>
  <c r="L978" i="1" s="1"/>
  <c r="G979" i="1" s="1"/>
  <c r="M978" i="1" l="1"/>
  <c r="H979" i="1" s="1"/>
  <c r="J979" i="1" l="1"/>
  <c r="K979" i="1" s="1"/>
  <c r="L979" i="1" s="1"/>
  <c r="G980" i="1" s="1"/>
  <c r="M979" i="1"/>
  <c r="H980" i="1" s="1"/>
  <c r="N979" i="1"/>
  <c r="I980" i="1" s="1"/>
  <c r="N980" i="1" l="1"/>
  <c r="J980" i="1"/>
  <c r="K980" i="1" s="1"/>
  <c r="L980" i="1" s="1"/>
  <c r="G981" i="1" s="1"/>
  <c r="I981" i="1"/>
  <c r="M980" i="1" l="1"/>
  <c r="H981" i="1" s="1"/>
  <c r="N981" i="1" l="1"/>
  <c r="I982" i="1" s="1"/>
  <c r="J981" i="1"/>
  <c r="K981" i="1" s="1"/>
  <c r="L981" i="1" s="1"/>
  <c r="G982" i="1" s="1"/>
  <c r="M981" i="1" l="1"/>
  <c r="H982" i="1" s="1"/>
  <c r="J982" i="1" l="1"/>
  <c r="K982" i="1" s="1"/>
  <c r="L982" i="1" s="1"/>
  <c r="G983" i="1" s="1"/>
  <c r="M982" i="1"/>
  <c r="H983" i="1" s="1"/>
  <c r="N982" i="1"/>
  <c r="I983" i="1" s="1"/>
  <c r="N983" i="1" l="1"/>
  <c r="J983" i="1"/>
  <c r="K983" i="1" s="1"/>
  <c r="L983" i="1" s="1"/>
  <c r="G984" i="1" s="1"/>
  <c r="I984" i="1"/>
  <c r="M983" i="1" l="1"/>
  <c r="H984" i="1" s="1"/>
  <c r="N984" i="1" l="1"/>
  <c r="I985" i="1" s="1"/>
  <c r="J984" i="1"/>
  <c r="K984" i="1" s="1"/>
  <c r="L984" i="1" s="1"/>
  <c r="G985" i="1" s="1"/>
  <c r="M984" i="1" l="1"/>
  <c r="H985" i="1" s="1"/>
  <c r="J985" i="1" l="1"/>
  <c r="K985" i="1" s="1"/>
  <c r="L985" i="1" s="1"/>
  <c r="G986" i="1" s="1"/>
  <c r="N985" i="1"/>
  <c r="I986" i="1" s="1"/>
  <c r="M985" i="1" l="1"/>
  <c r="H986" i="1" s="1"/>
  <c r="N986" i="1"/>
  <c r="J986" i="1"/>
  <c r="K986" i="1" s="1"/>
  <c r="L986" i="1" s="1"/>
  <c r="G987" i="1" s="1"/>
  <c r="I987" i="1"/>
  <c r="M986" i="1" l="1"/>
  <c r="H987" i="1" s="1"/>
  <c r="N987" i="1" l="1"/>
  <c r="I988" i="1" s="1"/>
  <c r="J987" i="1"/>
  <c r="K987" i="1" s="1"/>
  <c r="L987" i="1" s="1"/>
  <c r="G988" i="1" s="1"/>
  <c r="M987" i="1" l="1"/>
  <c r="H988" i="1" s="1"/>
  <c r="J988" i="1" l="1"/>
  <c r="K988" i="1" s="1"/>
  <c r="L988" i="1" s="1"/>
  <c r="G989" i="1" s="1"/>
  <c r="N988" i="1"/>
  <c r="I989" i="1" s="1"/>
  <c r="M988" i="1"/>
  <c r="H989" i="1" s="1"/>
  <c r="N989" i="1" l="1"/>
  <c r="J989" i="1"/>
  <c r="K989" i="1" s="1"/>
  <c r="L989" i="1" s="1"/>
  <c r="G990" i="1" s="1"/>
  <c r="I990" i="1"/>
  <c r="M989" i="1" l="1"/>
  <c r="H990" i="1" s="1"/>
  <c r="J990" i="1" l="1"/>
  <c r="K990" i="1" s="1"/>
  <c r="L990" i="1" s="1"/>
  <c r="G991" i="1" s="1"/>
  <c r="M990" i="1"/>
  <c r="H991" i="1" s="1"/>
  <c r="N990" i="1"/>
  <c r="I991" i="1" s="1"/>
  <c r="N991" i="1" l="1"/>
  <c r="J991" i="1"/>
  <c r="K991" i="1" s="1"/>
  <c r="L991" i="1" s="1"/>
  <c r="G992" i="1" s="1"/>
  <c r="I992" i="1"/>
  <c r="M991" i="1" l="1"/>
  <c r="H992" i="1" s="1"/>
  <c r="N992" i="1" l="1"/>
  <c r="I993" i="1" s="1"/>
  <c r="J992" i="1"/>
  <c r="K992" i="1" s="1"/>
  <c r="L992" i="1" s="1"/>
  <c r="G993" i="1" s="1"/>
  <c r="M992" i="1" l="1"/>
  <c r="H993" i="1" s="1"/>
  <c r="N993" i="1" l="1"/>
  <c r="I994" i="1" s="1"/>
  <c r="J993" i="1"/>
  <c r="K993" i="1" s="1"/>
  <c r="L993" i="1" s="1"/>
  <c r="G994" i="1" s="1"/>
  <c r="M993" i="1" l="1"/>
  <c r="H994" i="1" s="1"/>
  <c r="J994" i="1" l="1"/>
  <c r="K994" i="1" s="1"/>
  <c r="L994" i="1" s="1"/>
  <c r="G995" i="1" s="1"/>
  <c r="N994" i="1"/>
  <c r="I995" i="1" s="1"/>
  <c r="M994" i="1"/>
  <c r="H995" i="1" s="1"/>
  <c r="N995" i="1" l="1"/>
  <c r="J995" i="1"/>
  <c r="K995" i="1" s="1"/>
  <c r="L995" i="1" s="1"/>
  <c r="G996" i="1" s="1"/>
  <c r="I996" i="1"/>
  <c r="M995" i="1" l="1"/>
  <c r="H996" i="1" s="1"/>
  <c r="N996" i="1" l="1"/>
  <c r="I997" i="1" s="1"/>
  <c r="J996" i="1"/>
  <c r="K996" i="1" s="1"/>
  <c r="L996" i="1" s="1"/>
  <c r="G997" i="1" s="1"/>
  <c r="M996" i="1" l="1"/>
  <c r="H997" i="1" s="1"/>
  <c r="J997" i="1" l="1"/>
  <c r="K997" i="1" s="1"/>
  <c r="L997" i="1" s="1"/>
  <c r="G998" i="1" s="1"/>
  <c r="N997" i="1"/>
  <c r="I998" i="1" s="1"/>
  <c r="M997" i="1"/>
  <c r="H998" i="1" s="1"/>
  <c r="N998" i="1" l="1"/>
  <c r="J998" i="1"/>
  <c r="K998" i="1" s="1"/>
  <c r="L998" i="1" s="1"/>
  <c r="G999" i="1" s="1"/>
  <c r="I999" i="1"/>
  <c r="M998" i="1" l="1"/>
  <c r="H999" i="1" s="1"/>
  <c r="J999" i="1" l="1"/>
  <c r="K999" i="1" s="1"/>
  <c r="L999" i="1" s="1"/>
  <c r="G1000" i="1" s="1"/>
  <c r="N999" i="1"/>
  <c r="I1000" i="1" s="1"/>
  <c r="M999" i="1" l="1"/>
  <c r="H1000" i="1" s="1"/>
  <c r="J1000" i="1" s="1"/>
  <c r="K1000" i="1" s="1"/>
  <c r="L1000" i="1" s="1"/>
  <c r="G1001" i="1" s="1"/>
  <c r="M1000" i="1" l="1"/>
  <c r="H1001" i="1" s="1"/>
  <c r="N1000" i="1"/>
  <c r="I1001" i="1" s="1"/>
  <c r="N1001" i="1" s="1"/>
  <c r="I1002" i="1" s="1"/>
  <c r="J1001" i="1"/>
  <c r="K1001" i="1" s="1"/>
  <c r="L1001" i="1" s="1"/>
  <c r="G1002" i="1" s="1"/>
  <c r="M1001" i="1" l="1"/>
  <c r="H1002" i="1" s="1"/>
  <c r="B15" i="1" s="1"/>
  <c r="B16" i="1" s="1"/>
  <c r="N1002" i="1" l="1"/>
  <c r="J1002" i="1"/>
  <c r="K1002" i="1" s="1"/>
  <c r="L1002" i="1" s="1"/>
  <c r="M100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<sst xmlns="http://schemas.openxmlformats.org/spreadsheetml/2006/main" count="46" uniqueCount="43">
  <si>
    <t>AntA.</t>
  </si>
  <si>
    <t>AntB.</t>
  </si>
  <si>
    <t>AntC.</t>
  </si>
  <si>
    <t>dz.</t>
  </si>
  <si>
    <t>dTw</t>
  </si>
  <si>
    <t>dC</t>
  </si>
  <si>
    <t>dTair</t>
  </si>
  <si>
    <t>z</t>
  </si>
  <si>
    <t>C</t>
  </si>
  <si>
    <t>Tw</t>
  </si>
  <si>
    <t>Tair</t>
  </si>
  <si>
    <t>TairIn.</t>
  </si>
  <si>
    <t>RHairIn.</t>
  </si>
  <si>
    <t>CairIn.</t>
  </si>
  <si>
    <t>Csat.</t>
  </si>
  <si>
    <t>R.</t>
  </si>
  <si>
    <t>mol/m3</t>
  </si>
  <si>
    <t>Twin.</t>
  </si>
  <si>
    <t>Twoutguess.</t>
  </si>
  <si>
    <t>a.</t>
  </si>
  <si>
    <t>m2/m3</t>
  </si>
  <si>
    <t>h.</t>
  </si>
  <si>
    <t>W/(m2 K)</t>
  </si>
  <si>
    <t>Cpw.</t>
  </si>
  <si>
    <t>L.</t>
  </si>
  <si>
    <t>kg/(m2 s)</t>
  </si>
  <si>
    <t>J/(kg K)</t>
  </si>
  <si>
    <t>Cpa.</t>
  </si>
  <si>
    <t>rhoair.</t>
  </si>
  <si>
    <t>kg/m3</t>
  </si>
  <si>
    <t>lambda.</t>
  </si>
  <si>
    <t>J/mol</t>
  </si>
  <si>
    <t>Hvap of water</t>
  </si>
  <si>
    <t>PsatTw</t>
  </si>
  <si>
    <t>Cdiff</t>
  </si>
  <si>
    <t>kc.</t>
  </si>
  <si>
    <t>HMAnalogy, Le=1</t>
  </si>
  <si>
    <t>m/s</t>
  </si>
  <si>
    <t>G.</t>
  </si>
  <si>
    <t>air superficial v</t>
  </si>
  <si>
    <t>Twin_calc.</t>
  </si>
  <si>
    <t>height.</t>
  </si>
  <si>
    <t>Twin_sqdev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</si>
</sst>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0CF7-BC59-46E9-93A6-7D1A84AA4F5C}">
  <dimension ref="A1:N1002"/>
  <sheetViews>
    <sheetView tabSelected="1" zoomScale="175" zoomScaleNormal="175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12.140625" bestFit="1" customWidth="1"/>
    <col min="4" max="4" width="13.42578125" bestFit="1" customWidth="1"/>
  </cols>
  <sheetData>
    <row r="1" spans="1:14" x14ac:dyDescent="0.25">
      <c r="A1" t="s">
        <v>0</v>
      </c>
      <c r="B1">
        <v>8.0713100000000004</v>
      </c>
      <c r="D1">
        <f>(10^(AntA.-AntB./(AntC.+100)))*101325/760</f>
        <v>101336.5149416272</v>
      </c>
      <c r="F1" t="s">
        <v>7</v>
      </c>
      <c r="G1" t="s">
        <v>8</v>
      </c>
      <c r="H1" t="s">
        <v>9</v>
      </c>
      <c r="I1" t="s">
        <v>10</v>
      </c>
      <c r="J1" t="s">
        <v>33</v>
      </c>
      <c r="K1" t="s">
        <v>34</v>
      </c>
      <c r="L1" t="s">
        <v>5</v>
      </c>
      <c r="M1" t="s">
        <v>4</v>
      </c>
      <c r="N1" t="s">
        <v>6</v>
      </c>
    </row>
    <row r="2" spans="1:14" x14ac:dyDescent="0.25">
      <c r="A2" t="s">
        <v>1</v>
      </c>
      <c r="B2">
        <v>1730.63</v>
      </c>
      <c r="E2">
        <v>0</v>
      </c>
      <c r="F2">
        <f>dz.*E2</f>
        <v>0</v>
      </c>
      <c r="G2">
        <f>CairIn.</f>
        <v>0.83948829065217345</v>
      </c>
      <c r="H2">
        <f>Twoutguess.</f>
        <v>303.14999999999998</v>
      </c>
      <c r="I2" cm="1">
        <f t="array" ref="I2">TairIn.</f>
        <v>303.14999999999998</v>
      </c>
      <c r="J2">
        <f>(10^(AntA.-AntB./(AntC.+(H2-273.15)))*101325/760)</f>
        <v>4231.6742746747395</v>
      </c>
      <c r="K2">
        <f>(J2/(R.*H2)-G2)</f>
        <v>0.83948829065217345</v>
      </c>
      <c r="L2">
        <f>a.*kc./G.*K2</f>
        <v>0.72005824117932893</v>
      </c>
      <c r="M2">
        <f>a.*h./(L.*Cpw.)*(H2-I2)+a.*lambda.*kc./(L.*Cpw.)*K2</f>
        <v>3.4970570494551634</v>
      </c>
      <c r="N2">
        <f>a.*kc./G.*(H2-I2)</f>
        <v>0</v>
      </c>
    </row>
    <row r="3" spans="1:14" x14ac:dyDescent="0.25">
      <c r="A3" t="s">
        <v>2</v>
      </c>
      <c r="B3">
        <v>233.42599999999999</v>
      </c>
      <c r="E3">
        <v>1</v>
      </c>
      <c r="F3">
        <f>dz.*E3</f>
        <v>2.2737123336142792E-2</v>
      </c>
      <c r="G3">
        <f>G2+L2*dz.</f>
        <v>0.85586034369107389</v>
      </c>
      <c r="H3">
        <f>H2+M2*dz.</f>
        <v>303.22951301744695</v>
      </c>
      <c r="I3">
        <f>I2+N2*dz.</f>
        <v>303.14999999999998</v>
      </c>
      <c r="J3">
        <f>(10^(AntA.-AntB./(AntC.+(H3-273.15)))*101325/760)</f>
        <v>4251.0346433367877</v>
      </c>
      <c r="K3">
        <f>(J3/(R.*H3)-G3)</f>
        <v>0.83035546107718661</v>
      </c>
      <c r="L3">
        <f>a.*kc./G.*K3</f>
        <v>0.71222469629968954</v>
      </c>
      <c r="M3">
        <f>a.*h./(L.*Cpw.)*(H3-I3)+a.*lambda.*kc./(L.*Cpw.)*K3</f>
        <v>3.4685121770644383</v>
      </c>
      <c r="N3">
        <f>a.*kc./G.*(H3-I3)</f>
        <v>6.8201074548934953E-2</v>
      </c>
    </row>
    <row r="4" spans="1:14" x14ac:dyDescent="0.25">
      <c r="A4" t="s">
        <v>15</v>
      </c>
      <c r="B4">
        <v>8.3140000000000001</v>
      </c>
      <c r="E4">
        <v>2</v>
      </c>
      <c r="F4">
        <f>dz.*E4</f>
        <v>4.5474246672285584E-2</v>
      </c>
      <c r="G4">
        <f>G3+L3*dz.</f>
        <v>0.87205428445388677</v>
      </c>
      <c r="H4">
        <f>H3+M3*dz.</f>
        <v>303.30837700660976</v>
      </c>
      <c r="I4">
        <f>I3+N3*dz.</f>
        <v>303.15155069624365</v>
      </c>
      <c r="J4">
        <f>(10^(AntA.-AntB./(AntC.+(H4-273.15)))*101325/760)</f>
        <v>4270.3128586269868</v>
      </c>
      <c r="K4">
        <f>(J4/(R.*H4)-G4)</f>
        <v>0.82136799343292655</v>
      </c>
      <c r="L4">
        <f>a.*kc./G.*K4</f>
        <v>0.70451583339279356</v>
      </c>
      <c r="M4">
        <f>a.*h./(L.*Cpw.)*(H4-I4)+a.*lambda.*kc./(L.*Cpw.)*K4</f>
        <v>3.4403100284089811</v>
      </c>
      <c r="N4">
        <f>a.*kc./G.*(H4-I4)</f>
        <v>0.13451536902931682</v>
      </c>
    </row>
    <row r="5" spans="1:14" x14ac:dyDescent="0.25">
      <c r="A5" t="s">
        <v>3</v>
      </c>
      <c r="B5">
        <v>2.2737123336142792E-2</v>
      </c>
      <c r="E5">
        <v>3</v>
      </c>
      <c r="F5">
        <f>dz.*E5</f>
        <v>6.8211370008428376E-2</v>
      </c>
      <c r="G5">
        <f>G4+L4*dz.</f>
        <v>0.88807294785000412</v>
      </c>
      <c r="H5">
        <f>H4+M4*dz.</f>
        <v>303.38659976004027</v>
      </c>
      <c r="I5">
        <f>I4+N4*dz.</f>
        <v>303.15460918877989</v>
      </c>
      <c r="J5">
        <f>(10^(AntA.-AntB./(AntC.+(H5-273.15)))*101325/760)</f>
        <v>4289.5092163246582</v>
      </c>
      <c r="K5">
        <f>(J5/(R.*H5)-G5)</f>
        <v>0.81252319818278906</v>
      </c>
      <c r="L5">
        <f>a.*kc./G.*K5</f>
        <v>0.69692934554975583</v>
      </c>
      <c r="M5">
        <f>a.*h./(L.*Cpw.)*(H5-I5)+a.*lambda.*kc./(L.*Cpw.)*K5</f>
        <v>3.4124454561359561</v>
      </c>
      <c r="N5">
        <f>a.*kc./G.*(H5-I5)</f>
        <v>0.19898636416020207</v>
      </c>
    </row>
    <row r="6" spans="1:14" x14ac:dyDescent="0.25">
      <c r="A6" t="s">
        <v>41</v>
      </c>
      <c r="B6">
        <f>F1002</f>
        <v>22.73712333614279</v>
      </c>
      <c r="E6">
        <v>4</v>
      </c>
      <c r="F6">
        <f>dz.*E6</f>
        <v>9.0948493344571169E-2</v>
      </c>
      <c r="G6">
        <f>G5+L5*dz.</f>
        <v>0.90391911633634625</v>
      </c>
      <c r="H6">
        <f>H5+M5*dz.</f>
        <v>303.46418895325428</v>
      </c>
      <c r="I6">
        <f>I5+N5*dz.</f>
        <v>303.15913356628403</v>
      </c>
      <c r="J6">
        <f>(10^(AntA.-AntB./(AntC.+(H6-273.15)))*101325/760)</f>
        <v>4308.6240167906817</v>
      </c>
      <c r="K6">
        <f>(J6/(R.*H6)-G6)</f>
        <v>0.80381843941475295</v>
      </c>
      <c r="L6">
        <f>a.*kc./G.*K6</f>
        <v>0.68946297185735672</v>
      </c>
      <c r="M6">
        <f>a.*h./(L.*Cpw.)*(H6-I6)+a.*lambda.*kc./(L.*Cpw.)*K6</f>
        <v>3.3849134041782323</v>
      </c>
      <c r="N6">
        <f>a.*kc./G.*(H6-I6)</f>
        <v>0.26165659229556876</v>
      </c>
    </row>
    <row r="7" spans="1:14" x14ac:dyDescent="0.25">
      <c r="E7">
        <v>5</v>
      </c>
      <c r="F7">
        <f>dz.*E7</f>
        <v>0.11368561668071396</v>
      </c>
      <c r="G7">
        <f>G6+L6*dz.</f>
        <v>0.91959552096317054</v>
      </c>
      <c r="H7">
        <f>H6+M6*dz.</f>
        <v>303.54115214680724</v>
      </c>
      <c r="I7">
        <f>I6+N6*dz.</f>
        <v>303.16508288449478</v>
      </c>
      <c r="J7">
        <f>(10^(AntA.-AntB./(AntC.+(H7-273.15)))*101325/760)</f>
        <v>4327.6575647568488</v>
      </c>
      <c r="K7">
        <f>(J7/(R.*H7)-G7)</f>
        <v>0.79525113372399914</v>
      </c>
      <c r="L7">
        <f>a.*kc./G.*K7</f>
        <v>0.68211449643962652</v>
      </c>
      <c r="M7">
        <f>a.*h./(L.*Cpw.)*(H7-I7)+a.*lambda.*kc./(L.*Cpw.)*K7</f>
        <v>3.3577089059239276</v>
      </c>
      <c r="N7">
        <f>a.*kc./G.*(H7-I7)</f>
        <v>0.32256765770007867</v>
      </c>
    </row>
    <row r="8" spans="1:14" x14ac:dyDescent="0.25">
      <c r="A8" t="s">
        <v>11</v>
      </c>
      <c r="B8">
        <f>273.15+C8</f>
        <v>303.14999999999998</v>
      </c>
      <c r="C8">
        <v>30</v>
      </c>
      <c r="E8">
        <v>6</v>
      </c>
      <c r="F8">
        <f>dz.*E8</f>
        <v>0.13642274001685675</v>
      </c>
      <c r="G8">
        <f>G7+L7*dz.</f>
        <v>0.93510484239808922</v>
      </c>
      <c r="H8">
        <f>H7+M7*dz.</f>
        <v>303.61749678832808</v>
      </c>
      <c r="I8">
        <f>I7+N7*dz.</f>
        <v>303.17241714511215</v>
      </c>
      <c r="J8">
        <f>(10^(AntA.-AntB./(AntC.+(H8-273.15)))*101325/760)</f>
        <v>4346.6101691212816</v>
      </c>
      <c r="K8">
        <f>(J8/(R.*H8)-G8)</f>
        <v>0.78681874911955285</v>
      </c>
      <c r="L8">
        <f>a.*kc./G.*K8</f>
        <v>0.67488174752003383</v>
      </c>
      <c r="M8">
        <f>a.*h./(L.*Cpw.)*(H8-I8)+a.*lambda.*kc./(L.*Cpw.)*K8</f>
        <v>3.3308270824259627</v>
      </c>
      <c r="N8">
        <f>a.*kc./G.*(H8-I8)</f>
        <v>0.38176025639358768</v>
      </c>
    </row>
    <row r="9" spans="1:14" x14ac:dyDescent="0.25">
      <c r="A9" t="s">
        <v>12</v>
      </c>
      <c r="B9">
        <v>0.5</v>
      </c>
      <c r="E9">
        <v>7</v>
      </c>
      <c r="F9">
        <f>dz.*E9</f>
        <v>0.15915986335299953</v>
      </c>
      <c r="G9">
        <f>G8+L8*dz.</f>
        <v>0.95044971192876382</v>
      </c>
      <c r="H9">
        <f>H8+M8*dz.</f>
        <v>303.69323021451254</v>
      </c>
      <c r="I9">
        <f>I8+N8*dz.</f>
        <v>303.18109727514661</v>
      </c>
      <c r="J9">
        <f>(10^(AntA.-AntB./(AntC.+(H9-273.15)))*101325/760)</f>
        <v>4365.4821427497836</v>
      </c>
      <c r="K9">
        <f>(J9/(R.*H9)-G9)</f>
        <v>0.77851880395442863</v>
      </c>
      <c r="L9">
        <f>a.*kc./G.*K9</f>
        <v>0.66776259650383407</v>
      </c>
      <c r="M9">
        <f>a.*h./(L.*Cpw.)*(H9-I9)+a.*lambda.*kc./(L.*Cpw.)*K9</f>
        <v>3.3042631406507503</v>
      </c>
      <c r="N9">
        <f>a.*kc./G.*(H9-I9)</f>
        <v>0.43927419557376562</v>
      </c>
    </row>
    <row r="10" spans="1:14" x14ac:dyDescent="0.25">
      <c r="A10" t="s">
        <v>14</v>
      </c>
      <c r="B10">
        <f>((10^(AntA.-AntB./(AntC.+(TairIn.-273.15)))*101325/760))/(R.*TairIn.)</f>
        <v>1.6789765813043469</v>
      </c>
      <c r="C10" t="s">
        <v>16</v>
      </c>
      <c r="E10">
        <v>8</v>
      </c>
      <c r="F10">
        <f>dz.*E10</f>
        <v>0.18189698668914234</v>
      </c>
      <c r="G10">
        <f>G9+L9*dz.</f>
        <v>0.96563271244473448</v>
      </c>
      <c r="H10">
        <f>H9+M9*dz.</f>
        <v>303.76835965307657</v>
      </c>
      <c r="I10">
        <f>I9+N9*dz.</f>
        <v>303.19108510670975</v>
      </c>
      <c r="J10">
        <f>(10^(AntA.-AntB./(AntC.+(H10-273.15)))*101325/760)</f>
        <v>4384.2738022830517</v>
      </c>
      <c r="K10">
        <f>(J10/(R.*H10)-G10)</f>
        <v>0.77034886587879059</v>
      </c>
      <c r="L10">
        <f>a.*kc./G.*K10</f>
        <v>0.66075495708015874</v>
      </c>
      <c r="M10">
        <f>a.*h./(L.*Cpw.)*(H10-I10)+a.*lambda.*kc./(L.*Cpw.)*K10</f>
        <v>3.2780123717652656</v>
      </c>
      <c r="N10">
        <f>a.*kc./G.*(H10-I10)</f>
        <v>0.4951484126259425</v>
      </c>
    </row>
    <row r="11" spans="1:14" x14ac:dyDescent="0.25">
      <c r="A11" t="s">
        <v>13</v>
      </c>
      <c r="B11" cm="1">
        <f t="array" ref="B11">RHairIn.*Csat.</f>
        <v>0.83948829065217345</v>
      </c>
      <c r="C11" t="s">
        <v>16</v>
      </c>
      <c r="E11">
        <v>9</v>
      </c>
      <c r="F11">
        <f>dz.*E11</f>
        <v>0.20463411002528514</v>
      </c>
      <c r="G11">
        <f>G10+L10*dz.</f>
        <v>0.98065637939883377</v>
      </c>
      <c r="H11">
        <f>H10+M10*dz.</f>
        <v>303.84289222467078</v>
      </c>
      <c r="I11">
        <f>I10+N10*dz.</f>
        <v>303.20234335723734</v>
      </c>
      <c r="J11">
        <f>(10^(AntA.-AntB./(AntC.+(H11-273.15)))*101325/760)</f>
        <v>4402.9854679495356</v>
      </c>
      <c r="K11">
        <f>(J11/(R.*H11)-G11)</f>
        <v>0.76230655081559762</v>
      </c>
      <c r="L11">
        <f>a.*kc./G.*K11</f>
        <v>0.65385678434339078</v>
      </c>
      <c r="M11">
        <f>a.*h./(L.*Cpw.)*(H11-I11)+a.*lambda.*kc./(L.*Cpw.)*K11</f>
        <v>3.2520701494614421</v>
      </c>
      <c r="N11">
        <f>a.*kc./G.*(H11-I11)</f>
        <v>0.54942099372847075</v>
      </c>
    </row>
    <row r="12" spans="1:14" x14ac:dyDescent="0.25">
      <c r="E12">
        <v>10</v>
      </c>
      <c r="F12">
        <f>dz.*E12</f>
        <v>0.22737123336142792</v>
      </c>
      <c r="G12">
        <f>G11+L11*dz.</f>
        <v>0.99552320174862319</v>
      </c>
      <c r="H12">
        <f>H11+M11*dz.</f>
        <v>303.91683494475689</v>
      </c>
      <c r="I12">
        <f>I11+N11*dz.</f>
        <v>303.2148356101352</v>
      </c>
      <c r="J12">
        <f>(10^(AntA.-AntB./(AntC.+(H12-273.15)))*101325/760)</f>
        <v>4421.6174633838391</v>
      </c>
      <c r="K12">
        <f>(J12/(R.*H12)-G12)</f>
        <v>0.75438952195824982</v>
      </c>
      <c r="L12">
        <f>a.*kc./G.*K12</f>
        <v>0.64706607393341098</v>
      </c>
      <c r="M12">
        <f>a.*h./(L.*Cpw.)*(H12-I12)+a.*lambda.*kc./(L.*Cpw.)*K12</f>
        <v>3.2264319283171856</v>
      </c>
      <c r="N12">
        <f>a.*kc./G.*(H12-I12)</f>
        <v>0.60212919206301274</v>
      </c>
    </row>
    <row r="13" spans="1:14" x14ac:dyDescent="0.25">
      <c r="A13" t="s">
        <v>17</v>
      </c>
      <c r="B13">
        <f>273.15+C13</f>
        <v>323.14999999999998</v>
      </c>
      <c r="C13">
        <v>50</v>
      </c>
      <c r="E13">
        <v>11</v>
      </c>
      <c r="F13">
        <f>dz.*E13</f>
        <v>0.2501083566975707</v>
      </c>
      <c r="G13">
        <f>G12+L12*dz.</f>
        <v>1.0102356228782809</v>
      </c>
      <c r="H13">
        <f>H12+M12*dz.</f>
        <v>303.99019472544671</v>
      </c>
      <c r="I13">
        <f>I12+N12*dz.</f>
        <v>303.2285262958394</v>
      </c>
      <c r="J13">
        <f>(10^(AntA.-AntB./(AntC.+(H13-273.15)))*101325/760)</f>
        <v>4440.1701154503962</v>
      </c>
      <c r="K13">
        <f>(J13/(R.*H13)-G13)</f>
        <v>0.74659548878970572</v>
      </c>
      <c r="L13">
        <f>a.*kc./G.*K13</f>
        <v>0.64038086119426096</v>
      </c>
      <c r="M13">
        <f>a.*h./(L.*Cpw.)*(H13-I13)+a.*lambda.*kc./(L.*Cpw.)*K13</f>
        <v>3.201093242192834</v>
      </c>
      <c r="N13">
        <f>a.*kc./G.*(H13-I13)</f>
        <v>0.65330944563716464</v>
      </c>
    </row>
    <row r="14" spans="1:14" x14ac:dyDescent="0.25">
      <c r="A14" t="s">
        <v>18</v>
      </c>
      <c r="B14">
        <f>273.15+C14</f>
        <v>303.14999999999998</v>
      </c>
      <c r="C14">
        <v>30</v>
      </c>
      <c r="E14">
        <v>12</v>
      </c>
      <c r="F14">
        <f>dz.*E14</f>
        <v>0.27284548003371351</v>
      </c>
      <c r="G14">
        <f>G13+L13*dz.</f>
        <v>1.0247960415013602</v>
      </c>
      <c r="H14">
        <f>H13+M13*dz.</f>
        <v>304.06297837730494</v>
      </c>
      <c r="I14">
        <f>I13+N13*dz.</f>
        <v>303.24338067328154</v>
      </c>
      <c r="J14">
        <f>(10^(AntA.-AntB./(AntC.+(H14-273.15)))*101325/760)</f>
        <v>4458.6437540724992</v>
      </c>
      <c r="K14">
        <f>(J14/(R.*H14)-G14)</f>
        <v>0.73892220612268078</v>
      </c>
      <c r="L14">
        <f>a.*kc./G.*K14</f>
        <v>0.63379922035088787</v>
      </c>
      <c r="M14">
        <f>a.*h./(L.*Cpw.)*(H14-I14)+a.*lambda.*kc./(L.*Cpw.)*K14</f>
        <v>3.1760497026627235</v>
      </c>
      <c r="N14">
        <f>a.*kc./G.*(H14-I14)</f>
        <v>0.70299739472868095</v>
      </c>
    </row>
    <row r="15" spans="1:14" x14ac:dyDescent="0.25">
      <c r="A15" t="s">
        <v>40</v>
      </c>
      <c r="B15">
        <f>H1002</f>
        <v>323.15000000000498</v>
      </c>
      <c r="E15">
        <v>13</v>
      </c>
      <c r="F15">
        <f>dz.*E15</f>
        <v>0.29558260336985631</v>
      </c>
      <c r="G15">
        <f>G14+L14*dz.</f>
        <v>1.0392068125448295</v>
      </c>
      <c r="H15">
        <f>H14+M14*dz.</f>
        <v>304.13519261111611</v>
      </c>
      <c r="I15">
        <f>I14+N14*dz.</f>
        <v>303.25936481175046</v>
      </c>
      <c r="J15">
        <f>(10^(AntA.-AntB./(AntC.+(H15-273.15)))*101325/760)</f>
        <v>4477.0387120663845</v>
      </c>
      <c r="K15">
        <f>(J15/(R.*H15)-G15)</f>
        <v>0.73136747316040074</v>
      </c>
      <c r="L15">
        <f>a.*kc./G.*K15</f>
        <v>0.6273192637035202</v>
      </c>
      <c r="M15">
        <f>a.*h./(L.*Cpw.)*(H15-I15)+a.*lambda.*kc./(L.*Cpw.)*K15</f>
        <v>3.1512969974807343</v>
      </c>
      <c r="N15">
        <f>a.*kc./G.*(H15-I15)</f>
        <v>0.75122789895885589</v>
      </c>
    </row>
    <row r="16" spans="1:14" x14ac:dyDescent="0.25">
      <c r="A16" t="s">
        <v>42</v>
      </c>
      <c r="B16">
        <f>(Twin.-B15)^2</f>
        <v>2.5022213529729087E-23</v>
      </c>
      <c r="E16">
        <v>14</v>
      </c>
      <c r="F16">
        <f>dz.*E16</f>
        <v>0.31831972670599906</v>
      </c>
      <c r="G16">
        <f>G15+L15*dz.</f>
        <v>1.0534702480147946</v>
      </c>
      <c r="H16">
        <f>H15+M15*dz.</f>
        <v>304.20684403961667</v>
      </c>
      <c r="I16">
        <f>I15+N15*dz.</f>
        <v>303.27644557314261</v>
      </c>
      <c r="J16">
        <f>(10^(AntA.-AntB./(AntC.+(H16-273.15)))*101325/760)</f>
        <v>4495.3553249802781</v>
      </c>
      <c r="K16">
        <f>(J16/(R.*H16)-G16)</f>
        <v>0.72392913257747216</v>
      </c>
      <c r="L16">
        <f>a.*kc./G.*K16</f>
        <v>0.62093914083929846</v>
      </c>
      <c r="M16">
        <f>a.*h./(L.*Cpw.)*(H16-I16)+a.*lambda.*kc./(L.*Cpw.)*K16</f>
        <v>3.1268308890790366</v>
      </c>
      <c r="N16">
        <f>a.*kc./G.*(H16-I16)</f>
        <v>0.79803505400271746</v>
      </c>
    </row>
    <row r="17" spans="1:14" x14ac:dyDescent="0.25">
      <c r="E17">
        <v>15</v>
      </c>
      <c r="F17">
        <f>dz.*E17</f>
        <v>0.34105685004214187</v>
      </c>
      <c r="G17">
        <f>G16+L16*dz.</f>
        <v>1.0675886178442964</v>
      </c>
      <c r="H17">
        <f>H16+M16*dz.</f>
        <v>304.27793917919291</v>
      </c>
      <c r="I17">
        <f>I16+N16*dz.</f>
        <v>303.29459059459202</v>
      </c>
      <c r="J17">
        <f>(10^(AntA.-AntB./(AntC.+(H17-273.15)))*101325/760)</f>
        <v>4513.5939309382466</v>
      </c>
      <c r="K17">
        <f>(J17/(R.*H17)-G17)</f>
        <v>0.71660506962041715</v>
      </c>
      <c r="L17">
        <f>a.*kc./G.*K17</f>
        <v>0.61465703786077241</v>
      </c>
      <c r="M17">
        <f>a.*h./(L.*Cpw.)*(H17-I17)+a.*lambda.*kc./(L.*Cpw.)*K17</f>
        <v>3.1026472130993175</v>
      </c>
      <c r="N17">
        <f>a.*kc./G.*(H17-I17)</f>
        <v>0.84345220794422526</v>
      </c>
    </row>
    <row r="18" spans="1:14" x14ac:dyDescent="0.25">
      <c r="A18" t="s">
        <v>19</v>
      </c>
      <c r="B18">
        <v>100</v>
      </c>
      <c r="C18" t="s">
        <v>20</v>
      </c>
      <c r="E18">
        <v>16</v>
      </c>
      <c r="F18">
        <f>dz.*E18</f>
        <v>0.36379397337828467</v>
      </c>
      <c r="G18">
        <f>G17+L17*dz.</f>
        <v>1.0815641507235649</v>
      </c>
      <c r="H18">
        <f>H17+M17*dz.</f>
        <v>304.34848445154569</v>
      </c>
      <c r="I18">
        <f>I17+N17*dz.</f>
        <v>303.31376827147221</v>
      </c>
      <c r="J18">
        <f>(10^(AntA.-AntB./(AntC.+(H18-273.15)))*101325/760)</f>
        <v>4531.7548704888677</v>
      </c>
      <c r="K18">
        <f>(J18/(R.*H18)-G18)</f>
        <v>0.70939321122749388</v>
      </c>
      <c r="L18">
        <f>a.*kc./G.*K18</f>
        <v>0.60847117663094108</v>
      </c>
      <c r="M18">
        <f>a.*h./(L.*Cpw.)*(H18-I18)+a.*lambda.*kc./(L.*Cpw.)*K18</f>
        <v>3.0787418769559411</v>
      </c>
      <c r="N18">
        <f>a.*kc./G.*(H18-I18)</f>
        <v>0.8875119772840282</v>
      </c>
    </row>
    <row r="19" spans="1:14" x14ac:dyDescent="0.25">
      <c r="A19" t="s">
        <v>21</v>
      </c>
      <c r="B19">
        <v>50</v>
      </c>
      <c r="C19" t="s">
        <v>22</v>
      </c>
      <c r="E19">
        <v>17</v>
      </c>
      <c r="F19">
        <f>dz.*E19</f>
        <v>0.38653109671442748</v>
      </c>
      <c r="G19">
        <f>G18+L18*dz.</f>
        <v>1.0953990349131106</v>
      </c>
      <c r="H19">
        <f>H18+M18*dz.</f>
        <v>304.41848618532219</v>
      </c>
      <c r="I19">
        <f>I18+N18*dz.</f>
        <v>303.33394774076203</v>
      </c>
      <c r="J19">
        <f>(10^(AntA.-AntB./(AntC.+(H19-273.15)))*101325/760)</f>
        <v>4549.8384864583595</v>
      </c>
      <c r="K19">
        <f>(J19/(R.*H19)-G19)</f>
        <v>0.70229152516728877</v>
      </c>
      <c r="L19">
        <f>a.*kc./G.*K19</f>
        <v>0.60237981403439256</v>
      </c>
      <c r="M19">
        <f>a.*h./(L.*Cpw.)*(H19-I19)+a.*lambda.*kc./(L.*Cpw.)*K19</f>
        <v>3.0551108584298952</v>
      </c>
      <c r="N19">
        <f>a.*kc./G.*(H19-I19)</f>
        <v>0.93024626260680399</v>
      </c>
    </row>
    <row r="20" spans="1:14" x14ac:dyDescent="0.25">
      <c r="A20" t="s">
        <v>35</v>
      </c>
      <c r="B20">
        <f>h./(rhoair.*Cpa.)</f>
        <v>4.2886735240817778E-2</v>
      </c>
      <c r="C20" t="s">
        <v>37</v>
      </c>
      <c r="D20" t="s">
        <v>36</v>
      </c>
      <c r="E20">
        <v>18</v>
      </c>
      <c r="F20">
        <f>dz.*E20</f>
        <v>0.40926822005057029</v>
      </c>
      <c r="G20">
        <f>G19+L19*dz.</f>
        <v>1.1090954190400133</v>
      </c>
      <c r="H20">
        <f>H19+M19*dz.</f>
        <v>304.48795061771591</v>
      </c>
      <c r="I20">
        <f>I19+N19*dz.</f>
        <v>303.35509886476791</v>
      </c>
      <c r="J20">
        <f>(10^(AntA.-AntB./(AntC.+(H20-273.15)))*101325/760)</f>
        <v>4567.8451238082662</v>
      </c>
      <c r="K20">
        <f>(J20/(R.*H20)-G20)</f>
        <v>0.6952980191957514</v>
      </c>
      <c r="L20">
        <f>a.*kc./G.*K20</f>
        <v>0.59638124125426462</v>
      </c>
      <c r="M20">
        <f>a.*h./(L.*Cpw.)*(H20-I20)+a.*lambda.*kc./(L.*Cpw.)*K20</f>
        <v>3.0317502042931728</v>
      </c>
      <c r="N20">
        <f>a.*kc./G.*(H20-I20)</f>
        <v>0.97168626391554336</v>
      </c>
    </row>
    <row r="21" spans="1:14" x14ac:dyDescent="0.25">
      <c r="A21" t="s">
        <v>23</v>
      </c>
      <c r="B21">
        <v>4185</v>
      </c>
      <c r="C21" t="s">
        <v>26</v>
      </c>
      <c r="E21">
        <v>19</v>
      </c>
      <c r="F21">
        <f>dz.*E21</f>
        <v>0.43200534338671304</v>
      </c>
      <c r="G21">
        <f>G20+L20*dz.</f>
        <v>1.1226554128777735</v>
      </c>
      <c r="H21">
        <f>H20+M20*dz.</f>
        <v>304.55688389603529</v>
      </c>
      <c r="I21">
        <f>I20+N20*dz.</f>
        <v>303.37719221519461</v>
      </c>
      <c r="J21">
        <f>(10^(AntA.-AntB./(AntC.+(H21-273.15)))*101325/760)</f>
        <v>4585.775129497466</v>
      </c>
      <c r="K21">
        <f>(J21/(R.*H21)-G21)</f>
        <v>0.6884107402312214</v>
      </c>
      <c r="L21">
        <f>a.*kc./G.*K21</f>
        <v>0.59047378306463549</v>
      </c>
      <c r="M21">
        <f>a.*h./(L.*Cpw.)*(H21-I21)+a.*lambda.*kc./(L.*Cpw.)*K21</f>
        <v>3.0086560289627373</v>
      </c>
      <c r="N21">
        <f>a.*kc./G.*(H21-I21)</f>
        <v>1.0118624956401878</v>
      </c>
    </row>
    <row r="22" spans="1:14" x14ac:dyDescent="0.25">
      <c r="A22" t="s">
        <v>24</v>
      </c>
      <c r="B22">
        <v>10</v>
      </c>
      <c r="C22" t="s">
        <v>25</v>
      </c>
      <c r="E22">
        <v>20</v>
      </c>
      <c r="F22">
        <f>dz.*E22</f>
        <v>0.45474246672285584</v>
      </c>
      <c r="G22">
        <f>G21+L21*dz.</f>
        <v>1.1360810881100729</v>
      </c>
      <c r="H22">
        <f>H21+M21*dz.</f>
        <v>304.62529207924183</v>
      </c>
      <c r="I22">
        <f>I21+N21*dz.</f>
        <v>303.40019905755719</v>
      </c>
      <c r="J22">
        <f>(10^(AntA.-AntB./(AntC.+(H22-273.15)))*101325/760)</f>
        <v>4603.6288523484018</v>
      </c>
      <c r="K22">
        <f>(J22/(R.*H22)-G22)</f>
        <v>0.68162777354705906</v>
      </c>
      <c r="L22">
        <f>a.*kc./G.*K22</f>
        <v>0.58465579713801641</v>
      </c>
      <c r="M22">
        <f>a.*h./(L.*Cpw.)*(H22-I22)+a.*lambda.*kc./(L.*Cpw.)*K22</f>
        <v>2.985824513183394</v>
      </c>
      <c r="N22">
        <f>a.*kc./G.*(H22-I22)</f>
        <v>1.0508048013272542</v>
      </c>
    </row>
    <row r="23" spans="1:14" x14ac:dyDescent="0.25">
      <c r="A23" t="s">
        <v>27</v>
      </c>
      <c r="B23">
        <v>1000</v>
      </c>
      <c r="C23" t="s">
        <v>26</v>
      </c>
      <c r="E23">
        <v>21</v>
      </c>
      <c r="F23">
        <f>dz.*E23</f>
        <v>0.47747959005899865</v>
      </c>
      <c r="G23">
        <f>G22+L22*dz.</f>
        <v>1.149374479078791</v>
      </c>
      <c r="H23">
        <f>H22+M22*dz.</f>
        <v>304.69318113945815</v>
      </c>
      <c r="I23">
        <f>I22+N22*dz.</f>
        <v>303.42409133592719</v>
      </c>
      <c r="J23">
        <f>(10^(AntA.-AntB./(AntC.+(H23-273.15)))*101325/760)</f>
        <v>4621.4066429174882</v>
      </c>
      <c r="K23">
        <f>(J23/(R.*H23)-G23)</f>
        <v>0.67494724198152101</v>
      </c>
      <c r="L23">
        <f>a.*kc./G.*K23</f>
        <v>0.57892567336763323</v>
      </c>
      <c r="M23">
        <f>a.*h./(L.*Cpw.)*(H23-I23)+a.*lambda.*kc./(L.*Cpw.)*K23</f>
        <v>2.9632519027389788</v>
      </c>
      <c r="N23">
        <f>a.*kc./G.*(H23-I23)</f>
        <v>1.0885423680170747</v>
      </c>
    </row>
    <row r="24" spans="1:14" x14ac:dyDescent="0.25">
      <c r="A24" t="s">
        <v>28</v>
      </c>
      <c r="B24">
        <f>101325*0.029/(R.*TairIn.)</f>
        <v>1.1658616520758642</v>
      </c>
      <c r="C24" t="s">
        <v>29</v>
      </c>
      <c r="E24">
        <v>22</v>
      </c>
      <c r="F24">
        <f>dz.*E24</f>
        <v>0.5002167133951414</v>
      </c>
      <c r="G24">
        <f>G23+L23*dz.</f>
        <v>1.1625375835166103</v>
      </c>
      <c r="H24">
        <f>H23+M23*dz.</f>
        <v>304.76055696344679</v>
      </c>
      <c r="I24">
        <f>I23+N23*dz.</f>
        <v>303.44884165800539</v>
      </c>
      <c r="J24">
        <f>(10^(AntA.-AntB./(AntC.+(H24-273.15)))*101325/760)</f>
        <v>4639.1088533694456</v>
      </c>
      <c r="K24">
        <f>(J24/(R.*H24)-G24)</f>
        <v>0.66836730516444343</v>
      </c>
      <c r="L24">
        <f>a.*kc./G.*K24</f>
        <v>0.57328183320412696</v>
      </c>
      <c r="M24">
        <f>a.*h./(L.*Cpw.)*(H24-I24)+a.*lambda.*kc./(L.*Cpw.)*K24</f>
        <v>2.9409345071910575</v>
      </c>
      <c r="N24">
        <f>a.*kc./G.*(H24-I24)</f>
        <v>1.1251037403158717</v>
      </c>
    </row>
    <row r="25" spans="1:14" x14ac:dyDescent="0.25">
      <c r="A25" t="s">
        <v>30</v>
      </c>
      <c r="B25">
        <v>40650</v>
      </c>
      <c r="C25" t="s">
        <v>31</v>
      </c>
      <c r="D25" t="s">
        <v>32</v>
      </c>
      <c r="E25">
        <v>23</v>
      </c>
      <c r="F25">
        <f>dz.*E25</f>
        <v>0.52295383673128426</v>
      </c>
      <c r="G25">
        <f>G24+L24*dz.</f>
        <v>1.1755723632645425</v>
      </c>
      <c r="H25">
        <f>H24+M24*dz.</f>
        <v>304.82742535406032</v>
      </c>
      <c r="I25">
        <f>I24+N24*dz.</f>
        <v>303.47442328051488</v>
      </c>
      <c r="J25">
        <f>(10^(AntA.-AntB./(AntC.+(H25-273.15)))*101325/760)</f>
        <v>4656.7358373556008</v>
      </c>
      <c r="K25">
        <f>(J25/(R.*H25)-G25)</f>
        <v>0.66188615876042545</v>
      </c>
      <c r="L25">
        <f>a.*kc./G.*K25</f>
        <v>0.56772272900640497</v>
      </c>
      <c r="M25">
        <f>a.*h./(L.*Cpw.)*(H25-I25)+a.*lambda.*kc./(L.*Cpw.)*K25</f>
        <v>2.9188686986446597</v>
      </c>
      <c r="N25">
        <f>a.*kc./G.*(H25-I25)</f>
        <v>1.1605168341684151</v>
      </c>
    </row>
    <row r="26" spans="1:14" x14ac:dyDescent="0.25">
      <c r="E26">
        <v>24</v>
      </c>
      <c r="F26">
        <f>dz.*E26</f>
        <v>0.54569096006742701</v>
      </c>
      <c r="G26">
        <f>G25+L25*dz.</f>
        <v>1.1884807449746928</v>
      </c>
      <c r="H26">
        <f>H25+M25*dz.</f>
        <v>304.89379203166339</v>
      </c>
      <c r="I26">
        <f>I25+N25*dz.</f>
        <v>303.50081009490702</v>
      </c>
      <c r="J26">
        <f>(10^(AntA.-AntB./(AntC.+(H26-273.15)))*101325/760)</f>
        <v>4674.2879498960119</v>
      </c>
      <c r="K26">
        <f>(J26/(R.*H26)-G26)</f>
        <v>0.65550203372813809</v>
      </c>
      <c r="L26">
        <f>a.*kc./G.*K26</f>
        <v>0.56224684340632525</v>
      </c>
      <c r="M26">
        <f>a.*h./(L.*Cpw.)*(H26-I26)+a.*lambda.*kc./(L.*Cpw.)*K26</f>
        <v>2.8970509105404414</v>
      </c>
      <c r="N26">
        <f>a.*kc./G.*(H26-I26)</f>
        <v>1.1948089503382411</v>
      </c>
    </row>
    <row r="27" spans="1:14" x14ac:dyDescent="0.25">
      <c r="A27" t="s">
        <v>38</v>
      </c>
      <c r="B27">
        <v>5</v>
      </c>
      <c r="C27" t="s">
        <v>37</v>
      </c>
      <c r="D27" t="s">
        <v>39</v>
      </c>
      <c r="E27">
        <v>25</v>
      </c>
      <c r="F27">
        <f>dz.*E27</f>
        <v>0.56842808340356976</v>
      </c>
      <c r="G27">
        <f>G26+L26*dz.</f>
        <v>1.2012646207985793</v>
      </c>
      <c r="H27">
        <f>H26+M26*dz.</f>
        <v>304.95966263552742</v>
      </c>
      <c r="I27">
        <f>I26+N26*dz.</f>
        <v>303.52797661337399</v>
      </c>
      <c r="J27">
        <f>(10^(AntA.-AntB./(AntC.+(H27-273.15)))*101325/760)</f>
        <v>4691.7655472652332</v>
      </c>
      <c r="K27">
        <f>(J27/(R.*H27)-G27)</f>
        <v>0.64921319559536483</v>
      </c>
      <c r="L27">
        <f>a.*kc./G.*K27</f>
        <v>0.55685268868687321</v>
      </c>
      <c r="M27">
        <f>a.*h./(L.*Cpw.)*(H27-I27)+a.*lambda.*kc./(L.*Cpw.)*K27</f>
        <v>2.8754776364724997</v>
      </c>
      <c r="N27">
        <f>a.*kc./G.*(H27-I27)</f>
        <v>1.2280067876014733</v>
      </c>
    </row>
    <row r="28" spans="1:14" x14ac:dyDescent="0.25">
      <c r="E28">
        <v>26</v>
      </c>
      <c r="F28">
        <f>dz.*E28</f>
        <v>0.59116520673971262</v>
      </c>
      <c r="G28">
        <f>G27+L27*dz.</f>
        <v>1.2139258490613154</v>
      </c>
      <c r="H28">
        <f>H27+M27*dz.</f>
        <v>305.0250427251982</v>
      </c>
      <c r="I28">
        <f>I27+N27*dz.</f>
        <v>303.5558979551613</v>
      </c>
      <c r="J28">
        <f>(10^(AntA.-AntB./(AntC.+(H28-273.15)))*101325/760)</f>
        <v>4709.1689868817057</v>
      </c>
      <c r="K28">
        <f>(J28/(R.*H28)-G28)</f>
        <v>0.64301794374947341</v>
      </c>
      <c r="L28">
        <f>a.*kc./G.*K28</f>
        <v>0.55153880617357454</v>
      </c>
      <c r="M28">
        <f>a.*h./(L.*Cpw.)*(H28-I28)+a.*lambda.*kc./(L.*Cpw.)*K28</f>
        <v>2.8541454290313872</v>
      </c>
      <c r="N28">
        <f>a.*kc./G.*(H28-I28)</f>
        <v>1.2601364556600976</v>
      </c>
    </row>
    <row r="29" spans="1:14" x14ac:dyDescent="0.25">
      <c r="E29">
        <v>27</v>
      </c>
      <c r="F29">
        <f>dz.*E29</f>
        <v>0.61390233007585537</v>
      </c>
      <c r="G29">
        <f>G28+L28*dz.</f>
        <v>1.2264662549219529</v>
      </c>
      <c r="H29">
        <f>H28+M28*dz.</f>
        <v>305.08993778183736</v>
      </c>
      <c r="I29">
        <f>I28+N28*dz.</f>
        <v>303.58454983317404</v>
      </c>
      <c r="J29">
        <f>(10^(AntA.-AntB./(AntC.+(H29-273.15)))*101325/760)</f>
        <v>4726.4986272006909</v>
      </c>
      <c r="K29">
        <f>(J29/(R.*H29)-G29)</f>
        <v>0.63691461074297906</v>
      </c>
      <c r="L29">
        <f>a.*kc./G.*K29</f>
        <v>0.54630376563885319</v>
      </c>
      <c r="M29">
        <f>a.*h./(L.*Cpw.)*(H29-I29)+a.*lambda.*kc./(L.*Cpw.)*K29</f>
        <v>2.8330508986717691</v>
      </c>
      <c r="N29">
        <f>a.*kc./G.*(H29-I29)</f>
        <v>1.2912234877808373</v>
      </c>
    </row>
    <row r="30" spans="1:14" x14ac:dyDescent="0.25">
      <c r="E30">
        <v>28</v>
      </c>
      <c r="F30">
        <f>dz.*E30</f>
        <v>0.63663945341199812</v>
      </c>
      <c r="G30">
        <f>G29+L29*dz.</f>
        <v>1.2388876310202828</v>
      </c>
      <c r="H30">
        <f>H29+M29*dz.</f>
        <v>305.15435320953804</v>
      </c>
      <c r="I30">
        <f>I29+N29*dz.</f>
        <v>303.61390854087023</v>
      </c>
      <c r="J30">
        <f>(10^(AntA.-AntB./(AntC.+(H30-273.15)))*101325/760)</f>
        <v>4743.7548276105435</v>
      </c>
      <c r="K30">
        <f>(J30/(R.*H30)-G30)</f>
        <v>0.63090156161383115</v>
      </c>
      <c r="L30">
        <f>a.*kc./G.*K30</f>
        <v>0.54114616471901722</v>
      </c>
      <c r="M30">
        <f>a.*h./(L.*Cpw.)*(H30-I30)+a.*lambda.*kc./(L.*Cpw.)*K30</f>
        <v>2.8121907126040462</v>
      </c>
      <c r="N30">
        <f>a.*kc./G.*(H30-I30)</f>
        <v>1.3212928531657189</v>
      </c>
    </row>
    <row r="31" spans="1:14" x14ac:dyDescent="0.25">
      <c r="E31">
        <v>29</v>
      </c>
      <c r="F31">
        <f>dz.*E31</f>
        <v>0.65937657674814099</v>
      </c>
      <c r="G31">
        <f>G30+L30*dz.</f>
        <v>1.2511917381103796</v>
      </c>
      <c r="H31">
        <f>H30+M30*dz.</f>
        <v>305.21829433661526</v>
      </c>
      <c r="I31">
        <f>I30+N30*dz.</f>
        <v>303.6439509394358</v>
      </c>
      <c r="J31">
        <f>(10^(AntA.-AntB./(AntC.+(H31-273.15)))*101325/760)</f>
        <v>4760.9379483323291</v>
      </c>
      <c r="K31">
        <f>(J31/(R.*H31)-G31)</f>
        <v>0.62497719322013556</v>
      </c>
      <c r="L31">
        <f>a.*kc./G.*K31</f>
        <v>0.53606462834362745</v>
      </c>
      <c r="M31">
        <f>a.*h./(L.*Cpw.)*(H31-I31)+a.*lambda.*kc./(L.*Cpw.)*K31</f>
        <v>2.791561593709428</v>
      </c>
      <c r="N31">
        <f>a.*kc./G.*(H31-I31)</f>
        <v>1.3503689690593039</v>
      </c>
    </row>
    <row r="32" spans="1:14" x14ac:dyDescent="0.25">
      <c r="E32">
        <v>30</v>
      </c>
      <c r="F32">
        <f>dz.*E32</f>
        <v>0.68211370008428374</v>
      </c>
      <c r="G32">
        <f>G31+L31*dz.</f>
        <v>1.2633803056811723</v>
      </c>
      <c r="H32">
        <f>H31+M31*dz.</f>
        <v>305.28176641687185</v>
      </c>
      <c r="I32">
        <f>I31+N31*dz.</f>
        <v>303.67465444523458</v>
      </c>
      <c r="J32">
        <f>(10^(AntA.-AntB./(AntC.+(H32-273.15)))*101325/760)</f>
        <v>4778.0483503227479</v>
      </c>
      <c r="K32">
        <f>(J32/(R.*H32)-G32)</f>
        <v>0.61913993358902064</v>
      </c>
      <c r="L32">
        <f>a.*kc./G.*K32</f>
        <v>0.53105780817699666</v>
      </c>
      <c r="M32">
        <f>a.*h./(L.*Cpw.)*(H32-I32)+a.*lambda.*kc./(L.*Cpw.)*K32</f>
        <v>2.7711603194781573</v>
      </c>
      <c r="N32">
        <f>a.*kc./G.*(H32-I32)</f>
        <v>1.378475712599122</v>
      </c>
    </row>
    <row r="33" spans="5:14" x14ac:dyDescent="0.25">
      <c r="E33">
        <v>31</v>
      </c>
      <c r="F33">
        <f>dz.*E33</f>
        <v>0.7048508234204266</v>
      </c>
      <c r="G33">
        <f>G32+L32*dz.</f>
        <v>1.2754550325643144</v>
      </c>
      <c r="H33">
        <f>H32+M32*dz.</f>
        <v>305.34477463084005</v>
      </c>
      <c r="I33">
        <f>I32+N32*dz.</f>
        <v>303.70599701752781</v>
      </c>
      <c r="J33">
        <f>(10^(AntA.-AntB./(AntC.+(H33-273.15)))*101325/760)</f>
        <v>4795.0863951800584</v>
      </c>
      <c r="K33">
        <f>(J33/(R.*H33)-G33)</f>
        <v>0.61338824127924974</v>
      </c>
      <c r="L33">
        <f>a.*kc./G.*K33</f>
        <v>0.52612438207148082</v>
      </c>
      <c r="M33">
        <f>a.*h./(L.*Cpw.)*(H33-I33)+a.*lambda.*kc./(L.*Cpw.)*K33</f>
        <v>2.7509837209698849</v>
      </c>
      <c r="N33">
        <f>a.*kc./G.*(H33-I33)</f>
        <v>1.4056364324140285</v>
      </c>
    </row>
    <row r="34" spans="5:14" x14ac:dyDescent="0.25">
      <c r="E34">
        <v>32</v>
      </c>
      <c r="F34">
        <f>dz.*E34</f>
        <v>0.72758794675656935</v>
      </c>
      <c r="G34">
        <f>G33+L33*dz.</f>
        <v>1.2874175875296254</v>
      </c>
      <c r="H34">
        <f>H33+M33*dz.</f>
        <v>305.40732408699944</v>
      </c>
      <c r="I34">
        <f>I33+N33*dz.</f>
        <v>303.7379571464574</v>
      </c>
      <c r="J34">
        <f>(10^(AntA.-AntB./(AntC.+(H34-273.15)))*101325/760)</f>
        <v>4812.0524450531575</v>
      </c>
      <c r="K34">
        <f>(J34/(R.*H34)-G34)</f>
        <v>0.60772060475738021</v>
      </c>
      <c r="L34">
        <f>a.*kc./G.*K34</f>
        <v>0.52126305353238866</v>
      </c>
      <c r="M34">
        <f>a.*h./(L.*Cpw.)*(H34-I34)+a.*lambda.*kc./(L.*Cpw.)*K34</f>
        <v>2.7310286817961327</v>
      </c>
      <c r="N34">
        <f>a.*kc./G.*(H34-I34)</f>
        <v>1.431873959976004</v>
      </c>
    </row>
    <row r="35" spans="5:14" x14ac:dyDescent="0.25">
      <c r="E35">
        <v>33</v>
      </c>
      <c r="F35">
        <f>dz.*E35</f>
        <v>0.7503250700927121</v>
      </c>
      <c r="G35">
        <f>G34+L34*dz.</f>
        <v>1.2992696098683658</v>
      </c>
      <c r="H35">
        <f>H34+M34*dz.</f>
        <v>305.46941982297199</v>
      </c>
      <c r="I35">
        <f>I34+N34*dz.</f>
        <v>303.7705138412872</v>
      </c>
      <c r="J35">
        <f>(10^(AntA.-AntB./(AntC.+(H35-273.15)))*101325/760)</f>
        <v>4828.946862553621</v>
      </c>
      <c r="K35">
        <f>(J35/(R.*H35)-G35)</f>
        <v>0.60213554178712125</v>
      </c>
      <c r="L35">
        <f>a.*kc./G.*K35</f>
        <v>0.51647255119421276</v>
      </c>
      <c r="M35">
        <f>a.*h./(L.*Cpw.)*(H35-I35)+a.*lambda.*kc./(L.*Cpw.)*K35</f>
        <v>2.711292137124198</v>
      </c>
      <c r="N35">
        <f>a.*kc./G.*(H35-I35)</f>
        <v>1.4572106207111428</v>
      </c>
    </row>
    <row r="36" spans="5:14" x14ac:dyDescent="0.25">
      <c r="E36">
        <v>34</v>
      </c>
      <c r="F36">
        <f>dz.*E36</f>
        <v>0.77306219342885496</v>
      </c>
      <c r="G36">
        <f>G35+L35*dz.</f>
        <v>1.311012709964601</v>
      </c>
      <c r="H36">
        <f>H35+M35*dz.</f>
        <v>305.53106680669407</v>
      </c>
      <c r="I36">
        <f>I35+N35*dz.</f>
        <v>303.80364661889706</v>
      </c>
      <c r="J36">
        <f>(10^(AntA.-AntB./(AntC.+(H36-273.15)))*101325/760)</f>
        <v>4845.7700106705779</v>
      </c>
      <c r="K36">
        <f>(J36/(R.*H36)-G36)</f>
        <v>0.59663159883159134</v>
      </c>
      <c r="L36">
        <f>a.*kc./G.*K36</f>
        <v>0.51175162830792531</v>
      </c>
      <c r="M36">
        <f>a.*h./(L.*Cpw.)*(H36-I36)+a.*lambda.*kc./(L.*Cpw.)*K36</f>
        <v>2.6917710727018123</v>
      </c>
      <c r="N36">
        <f>a.*kc./G.*(H36-I36)</f>
        <v>1.4816682448738807</v>
      </c>
    </row>
    <row r="37" spans="5:14" x14ac:dyDescent="0.25">
      <c r="E37">
        <v>35</v>
      </c>
      <c r="F37">
        <f>dz.*E37</f>
        <v>0.79579931676499771</v>
      </c>
      <c r="G37">
        <f>G36+L36*dz.</f>
        <v>1.3226484698549101</v>
      </c>
      <c r="H37">
        <f>H36+M36*dz.</f>
        <v>305.59226993756675</v>
      </c>
      <c r="I37">
        <f>I36+N36*dz.</f>
        <v>303.83733549252401</v>
      </c>
      <c r="J37">
        <f>(10^(AntA.-AntB./(AntC.+(H37-273.15)))*101325/760)</f>
        <v>4862.5222526884436</v>
      </c>
      <c r="K37">
        <f>(J37/(R.*H37)-G37)</f>
        <v>0.59120735046823492</v>
      </c>
      <c r="L37">
        <f>a.*kc./G.*K37</f>
        <v>0.50709906223913115</v>
      </c>
      <c r="M37">
        <f>a.*h./(L.*Cpw.)*(H37-I37)+a.*lambda.*kc./(L.*Cpw.)*K37</f>
        <v>2.6724625239024409</v>
      </c>
      <c r="N37">
        <f>a.*kc./G.*(H37-I37)</f>
        <v>1.5052681781907977</v>
      </c>
    </row>
    <row r="38" spans="5:14" x14ac:dyDescent="0.25">
      <c r="E38">
        <v>36</v>
      </c>
      <c r="F38">
        <f>dz.*E38</f>
        <v>0.81853644010114057</v>
      </c>
      <c r="G38">
        <f>G37+L37*dz.</f>
        <v>1.3341784437766837</v>
      </c>
      <c r="H38">
        <f>H37+M37*dz.</f>
        <v>305.65303404758396</v>
      </c>
      <c r="I38">
        <f>I37+N37*dz.</f>
        <v>303.87156096074551</v>
      </c>
      <c r="J38">
        <f>(10^(AntA.-AntB./(AntC.+(H38-273.15)))*101325/760)</f>
        <v>4879.2039521074066</v>
      </c>
      <c r="K38">
        <f>(J38/(R.*H38)-G38)</f>
        <v>0.58586139881610722</v>
      </c>
      <c r="L38">
        <f>a.*kc./G.*K38</f>
        <v>0.5025136539768309</v>
      </c>
      <c r="M38">
        <f>a.*h./(L.*Cpw.)*(H38-I38)+a.*lambda.*kc./(L.*Cpw.)*K38</f>
        <v>2.6533635747905162</v>
      </c>
      <c r="N38">
        <f>a.*kc./G.*(H38-I38)</f>
        <v>1.5280312922776562</v>
      </c>
    </row>
    <row r="39" spans="5:14" x14ac:dyDescent="0.25">
      <c r="E39">
        <v>37</v>
      </c>
      <c r="F39">
        <f>dz.*E39</f>
        <v>0.84127356343728332</v>
      </c>
      <c r="G39">
        <f>G38+L38*dz.</f>
        <v>1.3456041587052507</v>
      </c>
      <c r="H39">
        <f>H38+M38*dz.</f>
        <v>305.7133639024396</v>
      </c>
      <c r="I39">
        <f>I38+N38*dz.</f>
        <v>303.90630399669953</v>
      </c>
      <c r="J39">
        <f>(10^(AntA.-AntB./(AntC.+(H39-273.15)))*101325/760)</f>
        <v>4895.8154725665017</v>
      </c>
      <c r="K39">
        <f>(J39/(R.*H39)-G39)</f>
        <v>0.58059237297522603</v>
      </c>
      <c r="L39">
        <f>a.*kc./G.*K39</f>
        <v>0.49799422765253293</v>
      </c>
      <c r="M39">
        <f>a.*h./(L.*Cpw.)*(H39-I39)+a.*lambda.*kc./(L.*Cpw.)*K39</f>
        <v>2.6344713572061558</v>
      </c>
      <c r="N39">
        <f>a.*kc./G.*(H39-I39)</f>
        <v>1.5499779948354229</v>
      </c>
    </row>
    <row r="40" spans="5:14" x14ac:dyDescent="0.25">
      <c r="E40">
        <v>38</v>
      </c>
      <c r="F40">
        <f>dz.*E40</f>
        <v>0.86401068677342607</v>
      </c>
      <c r="G40">
        <f>G39+L39*dz.</f>
        <v>1.3569271148800734</v>
      </c>
      <c r="H40">
        <f>H39+M39*dz.</f>
        <v>305.77326420261392</v>
      </c>
      <c r="I40">
        <f>I39+N39*dz.</f>
        <v>303.9415460375364</v>
      </c>
      <c r="J40">
        <f>(10^(AntA.-AntB./(AntC.+(H40-273.15)))*101325/760)</f>
        <v>4912.3571777693351</v>
      </c>
      <c r="K40">
        <f>(J40/(R.*H40)-G40)</f>
        <v>0.57539892847778051</v>
      </c>
      <c r="L40">
        <f>a.*kc./G.*K40</f>
        <v>0.49353963006953638</v>
      </c>
      <c r="M40">
        <f>a.*h./(L.*Cpw.)*(H40-I40)+a.*lambda.*kc./(L.*Cpw.)*K40</f>
        <v>2.6157830498690764</v>
      </c>
      <c r="N40">
        <f>a.*kc./G.*(H40-I40)</f>
        <v>1.5711282396295216</v>
      </c>
    </row>
    <row r="41" spans="5:14" x14ac:dyDescent="0.25">
      <c r="E41">
        <v>39</v>
      </c>
      <c r="F41">
        <f>dz.*E41</f>
        <v>0.88674781010956893</v>
      </c>
      <c r="G41">
        <f>G40+L40*dz.</f>
        <v>1.3681487863202388</v>
      </c>
      <c r="H41">
        <f>H40+M40*dz.</f>
        <v>305.83273958443937</v>
      </c>
      <c r="I41">
        <f>I40+N40*dz.</f>
        <v>303.97726897409774</v>
      </c>
      <c r="J41">
        <f>(10^(AntA.-AntB./(AntC.+(H41-273.15)))*101325/760)</f>
        <v>4928.8294314122822</v>
      </c>
      <c r="K41">
        <f>(J41/(R.*H41)-G41)</f>
        <v>0.57027974675089865</v>
      </c>
      <c r="L41">
        <f>a.*kc./G.*K41</f>
        <v>0.48914873024212807</v>
      </c>
      <c r="M41">
        <f>a.*h./(L.*Cpw.)*(H41-I41)+a.*lambda.*kc./(L.*Cpw.)*K41</f>
        <v>2.5972958775010913</v>
      </c>
      <c r="N41">
        <f>a.*kc./G.*(H41-I41)</f>
        <v>1.5915015362567981</v>
      </c>
    </row>
    <row r="42" spans="5:14" x14ac:dyDescent="0.25">
      <c r="E42">
        <v>40</v>
      </c>
      <c r="F42">
        <f>dz.*E42</f>
        <v>0.90948493344571169</v>
      </c>
      <c r="G42">
        <f>G41+L41*dz.</f>
        <v>1.3792706213294716</v>
      </c>
      <c r="H42">
        <f>H41+M41*dz.</f>
        <v>305.89179462114657</v>
      </c>
      <c r="I42">
        <f>I41+N41*dz.</f>
        <v>304.01345514081726</v>
      </c>
      <c r="J42">
        <f>(10^(AntA.-AntB./(AntC.+(H42-273.15)))*101325/760)</f>
        <v>4945.2325971151722</v>
      </c>
      <c r="K42">
        <f>(J42/(R.*H42)-G42)</f>
        <v>0.56523353459075198</v>
      </c>
      <c r="L42">
        <f>a.*kc./G.*K42</f>
        <v>0.48482041894450401</v>
      </c>
      <c r="M42">
        <f>a.*h./(L.*Cpw.)*(H42-I42)+a.*lambda.*kc./(L.*Cpw.)*K42</f>
        <v>2.5790071099669536</v>
      </c>
      <c r="N42">
        <f>a.*kc./G.*(H42-I42)</f>
        <v>1.6111169597051729</v>
      </c>
    </row>
    <row r="43" spans="5:14" x14ac:dyDescent="0.25">
      <c r="E43">
        <v>41</v>
      </c>
      <c r="F43">
        <f>dz.*E43</f>
        <v>0.93222205678185444</v>
      </c>
      <c r="G43">
        <f>G42+L42*dz.</f>
        <v>1.3902940429908932</v>
      </c>
      <c r="H43">
        <f>H42+M42*dz.</f>
        <v>305.95043382389071</v>
      </c>
      <c r="I43">
        <f>I42+N42*dz.</f>
        <v>304.05008730583904</v>
      </c>
      <c r="J43">
        <f>(10^(AntA.-AntB./(AntC.+(H43-273.15)))*101325/760)</f>
        <v>4961.5670383542756</v>
      </c>
      <c r="K43">
        <f>(J43/(R.*H43)-G43)</f>
        <v>0.56025902364771096</v>
      </c>
      <c r="L43">
        <f>a.*kc./G.*K43</f>
        <v>0.48055360826916899</v>
      </c>
      <c r="M43">
        <f>a.*h./(L.*Cpw.)*(H43-I43)+a.*lambda.*kc./(L.*Cpw.)*K43</f>
        <v>2.5609140614329009</v>
      </c>
      <c r="N43">
        <f>a.*kc./G.*(H43-I43)</f>
        <v>1.6299931597098321</v>
      </c>
    </row>
    <row r="44" spans="5:14" x14ac:dyDescent="0.25">
      <c r="E44">
        <v>42</v>
      </c>
      <c r="F44">
        <f>dz.*E44</f>
        <v>0.9549591801179973</v>
      </c>
      <c r="G44">
        <f>G43+L43*dz.</f>
        <v>1.4012204496517378</v>
      </c>
      <c r="H44">
        <f>H43+M43*dz.</f>
        <v>306.0086616427588</v>
      </c>
      <c r="I44">
        <f>I43+N43*dz.</f>
        <v>304.08714866134841</v>
      </c>
      <c r="J44">
        <f>(10^(AntA.-AntB./(AntC.+(H44-273.15)))*101325/760)</f>
        <v>4977.8331183976707</v>
      </c>
      <c r="K44">
        <f>(J44/(R.*H44)-G44)</f>
        <v>0.55535496992236189</v>
      </c>
      <c r="L44">
        <f>a.*kc./G.*K44</f>
        <v>0.47634723119465311</v>
      </c>
      <c r="M44">
        <f>a.*h./(L.*Cpw.)*(H44-I44)+a.*lambda.*kc./(L.*Cpw.)*K44</f>
        <v>2.5430140895427762</v>
      </c>
      <c r="N44">
        <f>a.*kc./G.*(H44-I44)</f>
        <v>1.6481483699108341</v>
      </c>
    </row>
    <row r="45" spans="5:14" x14ac:dyDescent="0.25">
      <c r="E45">
        <v>43</v>
      </c>
      <c r="F45">
        <f>dz.*E45</f>
        <v>0.97769630345414005</v>
      </c>
      <c r="G45">
        <f>G44+L44*dz.</f>
        <v>1.4120512153982407</v>
      </c>
      <c r="H45">
        <f>H44+M44*dz.</f>
        <v>306.06648246775831</v>
      </c>
      <c r="I45">
        <f>I44+N44*dz.</f>
        <v>304.12462281411132</v>
      </c>
      <c r="J45">
        <f>(10^(AntA.-AntB./(AntC.+(H45-273.15)))*101325/760)</f>
        <v>4994.0312002428427</v>
      </c>
      <c r="K45">
        <f>(J45/(R.*H45)-G45)</f>
        <v>0.55052015327211934</v>
      </c>
      <c r="L45">
        <f>a.*kc./G.*K45</f>
        <v>0.47220024116231613</v>
      </c>
      <c r="M45">
        <f>a.*h./(L.*Cpw.)*(H45-I45)+a.*lambda.*kc./(L.*Cpw.)*K45</f>
        <v>2.5253045946111272</v>
      </c>
      <c r="N45">
        <f>a.*kc./G.*(H45-I45)</f>
        <v>1.6656004168156884</v>
      </c>
    </row>
    <row r="46" spans="5:14" x14ac:dyDescent="0.25">
      <c r="E46">
        <v>44</v>
      </c>
      <c r="F46">
        <f>dz.*E46</f>
        <v>1.0004334267902828</v>
      </c>
      <c r="G46">
        <f>G45+L45*dz.</f>
        <v>1.4227876905209047</v>
      </c>
      <c r="H46">
        <f>H45+M45*dz.</f>
        <v>306.12390062978733</v>
      </c>
      <c r="I46">
        <f>I45+N45*dz.</f>
        <v>304.16249377621716</v>
      </c>
      <c r="J46">
        <f>(10^(AntA.-AntB./(AntC.+(H46-273.15)))*101325/760)</f>
        <v>5010.161646556403</v>
      </c>
      <c r="K46">
        <f>(J46/(R.*H46)-G46)</f>
        <v>0.54575337692818571</v>
      </c>
      <c r="L46">
        <f>a.*kc./G.*K46</f>
        <v>0.46811161166202664</v>
      </c>
      <c r="M46">
        <f>a.*h./(L.*Cpw.)*(H46-I46)+a.*lambda.*kc./(L.*Cpw.)*K46</f>
        <v>2.5077830188329213</v>
      </c>
      <c r="N46">
        <f>a.*kc./G.*(H46-I46)</f>
        <v>1.6823667285717845</v>
      </c>
    </row>
    <row r="47" spans="5:14" x14ac:dyDescent="0.25">
      <c r="E47">
        <v>45</v>
      </c>
      <c r="F47">
        <f>dz.*E47</f>
        <v>1.0231705501264257</v>
      </c>
      <c r="G47">
        <f>G46+L46*dz.</f>
        <v>1.4334312019703448</v>
      </c>
      <c r="H47">
        <f>H46+M46*dz.</f>
        <v>306.18092040158683</v>
      </c>
      <c r="I47">
        <f>I46+N46*dz.</f>
        <v>304.20074595602131</v>
      </c>
      <c r="J47">
        <f>(10^(AntA.-AntB./(AntC.+(H47-273.15)))*101325/760)</f>
        <v>5026.2248196160399</v>
      </c>
      <c r="K47">
        <f>(J47/(R.*H47)-G47)</f>
        <v>0.54105346702270274</v>
      </c>
      <c r="L47">
        <f>a.*kc./G.*K47</f>
        <v>0.4640803358265837</v>
      </c>
      <c r="M47">
        <f>a.*h./(L.*Cpw.)*(H47-I47)+a.*lambda.*kc./(L.*Cpw.)*K47</f>
        <v>2.4904468455096955</v>
      </c>
      <c r="N47">
        <f>a.*kc./G.*(H47-I47)</f>
        <v>1.6984643435520352</v>
      </c>
    </row>
    <row r="48" spans="5:14" x14ac:dyDescent="0.25">
      <c r="E48">
        <v>46</v>
      </c>
      <c r="F48">
        <f>dz.*E48</f>
        <v>1.0459076734625685</v>
      </c>
      <c r="G48">
        <f>G47+L47*dz.</f>
        <v>1.4439830538039125</v>
      </c>
      <c r="H48">
        <f>H47+M47*dz.</f>
        <v>306.23754599867527</v>
      </c>
      <c r="I48">
        <f>I47+N47*dz.</f>
        <v>304.23936414928266</v>
      </c>
      <c r="J48">
        <f>(10^(AntA.-AntB./(AntC.+(H48-273.15)))*101325/760)</f>
        <v>5042.2210812544345</v>
      </c>
      <c r="K48">
        <f>(J48/(R.*H48)-G48)</f>
        <v>0.53641927212578833</v>
      </c>
      <c r="L48">
        <f>a.*kc./G.*K48</f>
        <v>0.4601054260346174</v>
      </c>
      <c r="M48">
        <f>a.*h./(L.*Cpw.)*(H48-I48)+a.*lambda.*kc./(L.*Cpw.)*K48</f>
        <v>2.4732935982914936</v>
      </c>
      <c r="N48">
        <f>a.*kc./G.*(H48-I48)</f>
        <v>1.7139099187581686</v>
      </c>
    </row>
    <row r="49" spans="5:14" x14ac:dyDescent="0.25">
      <c r="E49">
        <v>47</v>
      </c>
      <c r="F49">
        <f>dz.*E49</f>
        <v>1.0686447967987112</v>
      </c>
      <c r="G49">
        <f>G48+L48*dz.</f>
        <v>1.45444452762329</v>
      </c>
      <c r="H49">
        <f>H48+M48*dz.</f>
        <v>306.29378158026611</v>
      </c>
      <c r="I49">
        <f>I48+N48*dz.</f>
        <v>304.27833353049249</v>
      </c>
      <c r="J49">
        <f>(10^(AntA.-AntB./(AntC.+(H49-273.15)))*101325/760)</f>
        <v>5058.1507928052179</v>
      </c>
      <c r="K49">
        <f>(J49/(R.*H49)-G49)</f>
        <v>0.53184966279230239</v>
      </c>
      <c r="L49">
        <f>a.*kc./G.*K49</f>
        <v>0.45618591352183374</v>
      </c>
      <c r="M49">
        <f>a.*h./(L.*Cpw.)*(H49-I49)+a.*lambda.*kc./(L.*Cpw.)*K49</f>
        <v>2.4563208404344286</v>
      </c>
      <c r="N49">
        <f>a.*kc./G.*(H49-I49)</f>
        <v>1.7287197380452795</v>
      </c>
    </row>
    <row r="50" spans="5:14" x14ac:dyDescent="0.25">
      <c r="E50">
        <v>48</v>
      </c>
      <c r="F50">
        <f>dz.*E50</f>
        <v>1.091381920134854</v>
      </c>
      <c r="G50">
        <f>G49+L49*dz.</f>
        <v>1.4648168830032469</v>
      </c>
      <c r="H50">
        <f>H49+M49*dz.</f>
        <v>306.34963125016822</v>
      </c>
      <c r="I50">
        <f>I49+N49*dz.</f>
        <v>304.31763964439006</v>
      </c>
      <c r="J50">
        <f>(10^(AntA.-AntB./(AntC.+(H50-273.15)))*101325/760)</f>
        <v>5074.0143150508793</v>
      </c>
      <c r="K50">
        <f>(J50/(R.*H50)-G50)</f>
        <v>0.52734353111811738</v>
      </c>
      <c r="L50">
        <f>a.*kc./G.*K50</f>
        <v>0.45232084800041306</v>
      </c>
      <c r="M50">
        <f>a.*h./(L.*Cpw.)*(H50-I50)+a.*lambda.*kc./(L.*Cpw.)*K50</f>
        <v>2.4395261740734706</v>
      </c>
      <c r="N50">
        <f>a.*kc./G.*(H50-I50)</f>
        <v>1.7429097201714423</v>
      </c>
    </row>
    <row r="51" spans="5:14" x14ac:dyDescent="0.25">
      <c r="E51">
        <v>49</v>
      </c>
      <c r="F51">
        <f>dz.*E51</f>
        <v>1.1141190434709969</v>
      </c>
      <c r="G51">
        <f>G50+L50*dz.</f>
        <v>1.4751013579117409</v>
      </c>
      <c r="H51">
        <f>H50+M50*dz.</f>
        <v>306.40509905766987</v>
      </c>
      <c r="I51">
        <f>I50+N50*dz.</f>
        <v>304.35726839766136</v>
      </c>
      <c r="J51">
        <f>(10^(AntA.-AntB./(AntC.+(H51-273.15)))*101325/760)</f>
        <v>5089.8120081725438</v>
      </c>
      <c r="K51">
        <f>(J51/(R.*H51)-G51)</f>
        <v>0.52289979030567291</v>
      </c>
      <c r="L51">
        <f>a.*kc./G.*K51</f>
        <v>0.44850929728637062</v>
      </c>
      <c r="M51">
        <f>a.*h./(L.*Cpw.)*(H51-I51)+a.*lambda.*kc./(L.*Cpw.)*K51</f>
        <v>2.422907239510093</v>
      </c>
      <c r="N51">
        <f>a.*kc./G.*(H51-I51)</f>
        <v>1.756495426676286</v>
      </c>
    </row>
    <row r="52" spans="5:14" x14ac:dyDescent="0.25">
      <c r="E52">
        <v>50</v>
      </c>
      <c r="F52">
        <f>dz.*E52</f>
        <v>1.1368561668071395</v>
      </c>
      <c r="G52">
        <f>G51+L51*dz.</f>
        <v>1.4852991691215478</v>
      </c>
      <c r="H52">
        <f>H51+M51*dz.</f>
        <v>306.46018899840664</v>
      </c>
      <c r="I52">
        <f>I51+N51*dz.</f>
        <v>304.39720605081709</v>
      </c>
      <c r="J52">
        <f>(10^(AntA.-AntB./(AntC.+(H52-273.15)))*101325/760)</f>
        <v>5105.5442317016123</v>
      </c>
      <c r="K52">
        <f>(J52/(R.*H52)-G52)</f>
        <v>0.51851737423863975</v>
      </c>
      <c r="L52">
        <f>a.*kc./G.*K52</f>
        <v>0.44475034693473148</v>
      </c>
      <c r="M52">
        <f>a.*h./(L.*Cpw.)*(H52-I52)+a.*lambda.*kc./(L.*Cpw.)*K52</f>
        <v>2.4064617145145015</v>
      </c>
      <c r="N52">
        <f>a.*kc./G.*(H52-I52)</f>
        <v>1.7694920695918948</v>
      </c>
    </row>
    <row r="53" spans="5:14" x14ac:dyDescent="0.25">
      <c r="E53">
        <v>51</v>
      </c>
      <c r="F53">
        <f>dz.*E53</f>
        <v>1.1595932901432824</v>
      </c>
      <c r="G53">
        <f>G52+L52*dz.</f>
        <v>1.4954115126135952</v>
      </c>
      <c r="H53">
        <f>H52+M52*dz.</f>
        <v>306.51490501521323</v>
      </c>
      <c r="I53">
        <f>I52+N52*dz.</f>
        <v>304.43743921024571</v>
      </c>
      <c r="J53">
        <f>(10^(AntA.-AntB./(AntC.+(H53-273.15)))*101325/760)</f>
        <v>5121.2113444731685</v>
      </c>
      <c r="K53">
        <f>(J53/(R.*H53)-G53)</f>
        <v>0.51419523706547143</v>
      </c>
      <c r="L53">
        <f>a.*kc./G.*K53</f>
        <v>0.44104309988232815</v>
      </c>
      <c r="M53">
        <f>a.*h./(L.*Cpw.)*(H53-I53)+a.*lambda.*kc./(L.*Cpw.)*K53</f>
        <v>2.3901873136420733</v>
      </c>
      <c r="N53">
        <f>a.*kc./G.*(H53-I53)</f>
        <v>1.7819145189898855</v>
      </c>
    </row>
    <row r="54" spans="5:14" x14ac:dyDescent="0.25">
      <c r="E54">
        <v>52</v>
      </c>
      <c r="F54">
        <f>dz.*E54</f>
        <v>1.1823304134794252</v>
      </c>
      <c r="G54">
        <f>G53+L53*dz.</f>
        <v>1.5054395639721745</v>
      </c>
      <c r="H54">
        <f>H53+M53*dz.</f>
        <v>306.56925099896</v>
      </c>
      <c r="I54">
        <f>I53+N53*dz.</f>
        <v>304.47795482043847</v>
      </c>
      <c r="J54">
        <f>(10^(AntA.-AntB./(AntC.+(H54-273.15)))*101325/760)</f>
        <v>5136.8137045811727</v>
      </c>
      <c r="K54">
        <f>(J54/(R.*H54)-G54)</f>
        <v>0.50993235279168947</v>
      </c>
      <c r="L54">
        <f>a.*kc./G.*K54</f>
        <v>0.43738667609808946</v>
      </c>
      <c r="M54">
        <f>a.*h./(L.*Cpw.)*(H54-I54)+a.*lambda.*kc./(L.*Cpw.)*K54</f>
        <v>2.3740817875637834</v>
      </c>
      <c r="N54">
        <f>a.*kc./G.*(H54-I54)</f>
        <v>1.7937773103677384</v>
      </c>
    </row>
    <row r="55" spans="5:14" x14ac:dyDescent="0.25">
      <c r="E55">
        <v>53</v>
      </c>
      <c r="F55">
        <f>dz.*E55</f>
        <v>1.2050675368155679</v>
      </c>
      <c r="G55">
        <f>G54+L54*dz.</f>
        <v>1.5153844787722024</v>
      </c>
      <c r="H55">
        <f>H54+M54*dz.</f>
        <v>306.62323078937391</v>
      </c>
      <c r="I55">
        <f>I54+N54*dz.</f>
        <v>304.51874015638185</v>
      </c>
      <c r="J55">
        <f>(10^(AntA.-AntB./(AntC.+(H55-273.15)))*101325/760)</f>
        <v>5152.3516693352185</v>
      </c>
      <c r="K55">
        <f>(J55/(R.*H55)-G55)</f>
        <v>0.50572771488063362</v>
      </c>
      <c r="L55">
        <f>a.*kc./G.*K55</f>
        <v>0.43378021224059032</v>
      </c>
      <c r="M55">
        <f>a.*h./(L.*Cpw.)*(H55-I55)+a.*lambda.*kc./(L.*Cpw.)*K55</f>
        <v>2.3581429224100416</v>
      </c>
      <c r="N55">
        <f>a.*kc./G.*(H55-I55)</f>
        <v>1.8050946518782245</v>
      </c>
    </row>
    <row r="56" spans="5:14" x14ac:dyDescent="0.25">
      <c r="E56">
        <v>54</v>
      </c>
      <c r="F56">
        <f>dz.*E56</f>
        <v>1.2278046601517107</v>
      </c>
      <c r="G56">
        <f>G55+L55*dz.</f>
        <v>1.5252473929586949</v>
      </c>
      <c r="H56">
        <f>H55+M55*dz.</f>
        <v>306.67684817584501</v>
      </c>
      <c r="I56">
        <f>I55+N55*dz.</f>
        <v>304.55978281611505</v>
      </c>
      <c r="J56">
        <f>(10^(AntA.-AntB./(AntC.+(H56-273.15)))*101325/760)</f>
        <v>5167.8255952190739</v>
      </c>
      <c r="K56">
        <f>(J56/(R.*H56)-G56)</f>
        <v>0.50158033586260964</v>
      </c>
      <c r="L56">
        <f>a.*kc./G.*K56</f>
        <v>0.43022286132280396</v>
      </c>
      <c r="M56">
        <f>a.*h./(L.*Cpw.)*(H56-I56)+a.*lambda.*kc./(L.*Cpw.)*K56</f>
        <v>2.3423685391280697</v>
      </c>
      <c r="N56">
        <f>a.*kc./G.*(H56-I56)</f>
        <v>1.8158804314049117</v>
      </c>
    </row>
    <row r="57" spans="5:14" x14ac:dyDescent="0.25">
      <c r="E57">
        <v>55</v>
      </c>
      <c r="F57">
        <f>dz.*E57</f>
        <v>1.2505417834878536</v>
      </c>
      <c r="G57">
        <f>G56+L56*dz.</f>
        <v>1.5350294232186197</v>
      </c>
      <c r="H57">
        <f>H56+M56*dz.</f>
        <v>306.73010689821785</v>
      </c>
      <c r="I57">
        <f>I56+N56*dz.</f>
        <v>304.6010707134476</v>
      </c>
      <c r="J57">
        <f>(10^(AntA.-AntB./(AntC.+(H57-273.15)))*101325/760)</f>
        <v>5183.2358378507079</v>
      </c>
      <c r="K57">
        <f>(J57/(R.*H57)-G57)</f>
        <v>0.49748924695215391</v>
      </c>
      <c r="L57">
        <f>a.*kc./G.*K57</f>
        <v>0.42671379238381679</v>
      </c>
      <c r="M57">
        <f>a.*h./(L.*Cpw.)*(H57-I57)+a.*lambda.*kc./(L.*Cpw.)*K57</f>
        <v>2.3267564928521391</v>
      </c>
      <c r="N57">
        <f>a.*kc./G.*(H57-I57)</f>
        <v>1.8261482234872564</v>
      </c>
    </row>
    <row r="58" spans="5:14" x14ac:dyDescent="0.25">
      <c r="E58">
        <v>56</v>
      </c>
      <c r="F58">
        <f>dz.*E58</f>
        <v>1.2732789068239962</v>
      </c>
      <c r="G58">
        <f>G57+L57*dz.</f>
        <v>1.5447316673452838</v>
      </c>
      <c r="H58">
        <f>H57+M57*dz.</f>
        <v>306.78301064756903</v>
      </c>
      <c r="I58">
        <f>I57+N57*dz.</f>
        <v>304.64259207083512</v>
      </c>
      <c r="J58">
        <f>(10^(AntA.-AntB./(AntC.+(H58-273.15)))*101325/760)</f>
        <v>5198.5827519439172</v>
      </c>
      <c r="K58">
        <f>(J58/(R.*H58)-G58)</f>
        <v>0.49345349767329361</v>
      </c>
      <c r="L58">
        <f>a.*kc./G.*K58</f>
        <v>0.42325219016740073</v>
      </c>
      <c r="M58">
        <f>a.*h./(L.*Cpw.)*(H58-I58)+a.*lambda.*kc./(L.*Cpw.)*K58</f>
        <v>2.3113046722865884</v>
      </c>
      <c r="N58">
        <f>a.*kc./G.*(H58-I58)</f>
        <v>1.8359112960983019</v>
      </c>
    </row>
    <row r="59" spans="5:14" x14ac:dyDescent="0.25">
      <c r="E59">
        <v>57</v>
      </c>
      <c r="F59">
        <f>dz.*E59</f>
        <v>1.2960160301601391</v>
      </c>
      <c r="G59">
        <f>G58+L58*dz.</f>
        <v>1.5543552045954125</v>
      </c>
      <c r="H59">
        <f>H58+M58*dz.</f>
        <v>306.83556306697022</v>
      </c>
      <c r="I59">
        <f>I58+N58*dz.</f>
        <v>304.6843354124087</v>
      </c>
      <c r="J59">
        <f>(10^(AntA.-AntB./(AntC.+(H59-273.15)))*101325/760)</f>
        <v>5213.8666912714207</v>
      </c>
      <c r="K59">
        <f>(J59/(R.*H59)-G59)</f>
        <v>0.48947215549261514</v>
      </c>
      <c r="L59">
        <f>a.*kc./G.*K59</f>
        <v>0.41983725480728357</v>
      </c>
      <c r="M59">
        <f>a.*h./(L.*Cpw.)*(H59-I59)+a.*lambda.*kc./(L.*Cpw.)*K59</f>
        <v>2.296010999101266</v>
      </c>
      <c r="N59">
        <f>a.*kc./G.*(H59-I59)</f>
        <v>1.8451826172781094</v>
      </c>
    </row>
    <row r="60" spans="5:14" x14ac:dyDescent="0.25">
      <c r="E60">
        <v>58</v>
      </c>
      <c r="F60">
        <f>dz.*E60</f>
        <v>1.318753153496282</v>
      </c>
      <c r="G60">
        <f>G59+L59*dz.</f>
        <v>1.5639010960390733</v>
      </c>
      <c r="H60">
        <f>H59+M59*dz.</f>
        <v>306.88776775223795</v>
      </c>
      <c r="I60">
        <f>I59+N59*dz.</f>
        <v>304.72628955715544</v>
      </c>
      <c r="J60">
        <f>(10^(AntA.-AntB./(AntC.+(H60-273.15)))*101325/760)</f>
        <v>5229.0880086294528</v>
      </c>
      <c r="K60">
        <f>(J60/(R.*H60)-G60)</f>
        <v>0.48554430545997973</v>
      </c>
      <c r="L60">
        <f>a.*kc./G.*K60</f>
        <v>0.41646820151897812</v>
      </c>
      <c r="M60">
        <f>a.*h./(L.*Cpw.)*(H60-I60)+a.*lambda.*kc./(L.*Cpw.)*K60</f>
        <v>2.2808734273391837</v>
      </c>
      <c r="N60">
        <f>a.*kc./G.*(H60-I60)</f>
        <v>1.8539748616260849</v>
      </c>
    </row>
    <row r="61" spans="5:14" x14ac:dyDescent="0.25">
      <c r="E61">
        <v>59</v>
      </c>
      <c r="F61">
        <f>dz.*E61</f>
        <v>1.3414902768324248</v>
      </c>
      <c r="G61">
        <f>G60+L60*dz.</f>
        <v>1.573370384902592</v>
      </c>
      <c r="H61">
        <f>H60+M60*dz.</f>
        <v>306.93962825266948</v>
      </c>
      <c r="I61">
        <f>I60+N60*dz.</f>
        <v>304.76844361224636</v>
      </c>
      <c r="J61">
        <f>(10^(AntA.-AntB./(AntC.+(H61-273.15)))*101325/760)</f>
        <v>5244.2470558036684</v>
      </c>
      <c r="K61">
        <f>(J61/(R.*H61)-G61)</f>
        <v>0.48166904985668091</v>
      </c>
      <c r="L61">
        <f>a.*kc./G.*K61</f>
        <v>0.41314426029799467</v>
      </c>
      <c r="M61">
        <f>a.*h./(L.*Cpw.)*(H61-I61)+a.*lambda.*kc./(L.*Cpw.)*K61</f>
        <v>2.2658899428359143</v>
      </c>
      <c r="N61">
        <f>a.*kc./G.*(H61-I61)</f>
        <v>1.8623004166551309</v>
      </c>
    </row>
    <row r="62" spans="5:14" x14ac:dyDescent="0.25">
      <c r="E62">
        <v>60</v>
      </c>
      <c r="F62">
        <f>dz.*E62</f>
        <v>1.3642274001685675</v>
      </c>
      <c r="G62">
        <f>G61+L61*dz.</f>
        <v>1.5827640969046068</v>
      </c>
      <c r="H62">
        <f>H61+M61*dz.</f>
        <v>306.99114807176585</v>
      </c>
      <c r="I62">
        <f>I61+N61*dz.</f>
        <v>304.81078696650877</v>
      </c>
      <c r="J62">
        <f>(10^(AntA.-AntB./(AntC.+(H62-273.15)))*101325/760)</f>
        <v>5259.3441835365984</v>
      </c>
      <c r="K62">
        <f>(J62/(R.*H62)-G62)</f>
        <v>0.47784550785099023</v>
      </c>
      <c r="L62">
        <f>a.*kc./G.*K62</f>
        <v>0.40986467562439066</v>
      </c>
      <c r="M62">
        <f>a.*h./(L.*Cpw.)*(H62-I62)+a.*lambda.*kc./(L.*Cpw.)*K62</f>
        <v>2.2510585626509623</v>
      </c>
      <c r="N62">
        <f>a.*kc./G.*(H62-I62)</f>
        <v>1.8701713890107421</v>
      </c>
    </row>
    <row r="63" spans="5:14" x14ac:dyDescent="0.25">
      <c r="E63">
        <v>61</v>
      </c>
      <c r="F63">
        <f>dz.*E63</f>
        <v>1.3869645235047103</v>
      </c>
      <c r="G63">
        <f>G62+L62*dz.</f>
        <v>1.5920832405854068</v>
      </c>
      <c r="H63">
        <f>H62+M62*dz.</f>
        <v>307.04233066794171</v>
      </c>
      <c r="I63">
        <f>I62+N62*dz.</f>
        <v>304.85330928404045</v>
      </c>
      <c r="J63">
        <f>(10^(AntA.-AntB./(AntC.+(H63-273.15)))*101325/760)</f>
        <v>5274.3797414962592</v>
      </c>
      <c r="K63">
        <f>(J63/(R.*H63)-G63)</f>
        <v>0.47407281516078559</v>
      </c>
      <c r="L63">
        <f>a.*kc./G.*K63</f>
        <v>0.40662870617339514</v>
      </c>
      <c r="M63">
        <f>a.*h./(L.*Cpw.)*(H63-I63)+a.*lambda.*kc./(L.*Cpw.)*K63</f>
        <v>2.2363773345101281</v>
      </c>
      <c r="N63">
        <f>a.*kc./G.*(H63-I63)</f>
        <v>1.8775996105572401</v>
      </c>
    </row>
    <row r="64" spans="5:14" x14ac:dyDescent="0.25">
      <c r="E64">
        <v>62</v>
      </c>
      <c r="F64">
        <f>dz.*E64</f>
        <v>1.4097016468408532</v>
      </c>
      <c r="G64">
        <f>G63+L63*dz.</f>
        <v>1.6013288076296874</v>
      </c>
      <c r="H64">
        <f>H63+M63*dz.</f>
        <v>307.09317945522264</v>
      </c>
      <c r="I64">
        <f>I63+N63*dz.</f>
        <v>304.89600049796161</v>
      </c>
      <c r="J64">
        <f>(10^(AntA.-AntB./(AntC.+(H64-273.15)))*101325/760)</f>
        <v>5289.3540782461914</v>
      </c>
      <c r="K64">
        <f>(J64/(R.*H64)-G64)</f>
        <v>0.47035012372324769</v>
      </c>
      <c r="L64">
        <f>a.*kc./G.*K64</f>
        <v>0.40343562453209619</v>
      </c>
      <c r="M64">
        <f>a.*h./(L.*Cpw.)*(H64-I64)+a.*lambda.*kc./(L.*Cpw.)*K64</f>
        <v>2.2218443362593474</v>
      </c>
      <c r="N64">
        <f>a.*kc./G.*(H64-I64)</f>
        <v>1.884596644334998</v>
      </c>
    </row>
    <row r="65" spans="5:14" x14ac:dyDescent="0.25">
      <c r="E65">
        <v>63</v>
      </c>
      <c r="F65">
        <f>dz.*E65</f>
        <v>1.4324387701769958</v>
      </c>
      <c r="G65">
        <f>G64+L64*dz.</f>
        <v>1.6105017731828675</v>
      </c>
      <c r="H65">
        <f>H64+M64*dz.</f>
        <v>307.14369780392985</v>
      </c>
      <c r="I65">
        <f>I64+N64*dz.</f>
        <v>304.93885080430272</v>
      </c>
      <c r="J65">
        <f>(10^(AntA.-AntB./(AntC.+(H65-273.15)))*101325/760)</f>
        <v>5304.2675412165936</v>
      </c>
      <c r="K65">
        <f>(J65/(R.*H65)-G65)</f>
        <v>0.46667660137134104</v>
      </c>
      <c r="L65">
        <f>a.*kc./G.*K65</f>
        <v>0.40028471692194728</v>
      </c>
      <c r="M65">
        <f>a.*h./(L.*Cpw.)*(H65-I65)+a.*lambda.*kc./(L.*Cpw.)*K65</f>
        <v>2.2074576753290671</v>
      </c>
      <c r="N65">
        <f>a.*kc./G.*(H65-I65)</f>
        <v>1.8911737903904093</v>
      </c>
    </row>
    <row r="66" spans="5:14" x14ac:dyDescent="0.25">
      <c r="E66">
        <v>64</v>
      </c>
      <c r="F66">
        <f>dz.*E66</f>
        <v>1.4551758935131387</v>
      </c>
      <c r="G66">
        <f>G65+L65*dz.</f>
        <v>1.6196030961610948</v>
      </c>
      <c r="H66">
        <f>H65+M65*dz.</f>
        <v>307.19388904135315</v>
      </c>
      <c r="I66">
        <f>I65+N65*dz.</f>
        <v>304.9818506560249</v>
      </c>
      <c r="J66">
        <f>(10^(AntA.-AntB./(AntC.+(H66-273.15)))*101325/760)</f>
        <v>5319.1204766769224</v>
      </c>
      <c r="K66">
        <f>(J66/(R.*H66)-G66)</f>
        <v>0.46305143151710526</v>
      </c>
      <c r="L66">
        <f>a.*kc./G.*K66</f>
        <v>0.39717528292711518</v>
      </c>
      <c r="M66">
        <f>a.*h./(L.*Cpw.)*(H66-I66)+a.*lambda.*kc./(L.*Cpw.)*K66</f>
        <v>2.1932154882097339</v>
      </c>
      <c r="N66">
        <f>a.*kc./G.*(H66-I66)</f>
        <v>1.8973420914819674</v>
      </c>
    </row>
    <row r="67" spans="5:14" x14ac:dyDescent="0.25">
      <c r="E67">
        <v>65</v>
      </c>
      <c r="F67">
        <f>dz.*E67</f>
        <v>1.4779130168492816</v>
      </c>
      <c r="G67">
        <f>G66+L66*dz.</f>
        <v>1.628633719555076</v>
      </c>
      <c r="H67">
        <f>H66+M66*dz.</f>
        <v>307.24375645241133</v>
      </c>
      <c r="I67">
        <f>I66+N66*dz.</f>
        <v>305.0249907571698</v>
      </c>
      <c r="J67">
        <f>(10^(AntA.-AntB./(AntC.+(H67-273.15)))*101325/760)</f>
        <v>5333.9132297094184</v>
      </c>
      <c r="K67">
        <f>(J67/(R.*H67)-G67)</f>
        <v>0.45947381284141131</v>
      </c>
      <c r="L67">
        <f>a.*kc./G.*K67</f>
        <v>0.39410663522837336</v>
      </c>
      <c r="M67">
        <f>a.*h./(L.*Cpw.)*(H67-I67)+a.*lambda.*kc./(L.*Cpw.)*K67</f>
        <v>2.1791159399372648</v>
      </c>
      <c r="N67">
        <f>a.*kc./G.*(H67-I67)</f>
        <v>1.9031123386646494</v>
      </c>
    </row>
    <row r="68" spans="5:14" x14ac:dyDescent="0.25">
      <c r="E68">
        <v>66</v>
      </c>
      <c r="F68">
        <f>dz.*E68</f>
        <v>1.5006501401854242</v>
      </c>
      <c r="G68">
        <f>G67+L67*dz.</f>
        <v>1.6375945707278556</v>
      </c>
      <c r="H68">
        <f>H67+M67*dz.</f>
        <v>307.29330328030142</v>
      </c>
      <c r="I68">
        <f>I67+N67*dz.</f>
        <v>305.06826205713656</v>
      </c>
      <c r="J68">
        <f>(10^(AntA.-AntB./(AntC.+(H68-273.15)))*101325/760)</f>
        <v>5348.6461441839419</v>
      </c>
      <c r="K68">
        <f>(J68/(R.*H68)-G68)</f>
        <v>0.45594295899020532</v>
      </c>
      <c r="L68">
        <f>a.*kc./G.*K68</f>
        <v>0.39107809934255949</v>
      </c>
      <c r="M68">
        <f>a.*h./(L.*Cpw.)*(H68-I68)+a.*lambda.*kc./(L.*Cpw.)*K68</f>
        <v>2.1651572235889955</v>
      </c>
      <c r="N68">
        <f>a.*kc./G.*(H68-I68)</f>
        <v>1.9084950767555264</v>
      </c>
    </row>
    <row r="69" spans="5:14" x14ac:dyDescent="0.25">
      <c r="E69">
        <v>67</v>
      </c>
      <c r="F69">
        <f>dz.*E69</f>
        <v>1.5233872635215671</v>
      </c>
      <c r="G69">
        <f>G68+L68*dz.</f>
        <v>1.6464865617066717</v>
      </c>
      <c r="H69">
        <f>H68+M68*dz.</f>
        <v>307.3425327271363</v>
      </c>
      <c r="I69">
        <f>I68+N68*dz.</f>
        <v>305.11165574508317</v>
      </c>
      <c r="J69">
        <f>(10^(AntA.-AntB./(AntC.+(H69-273.15)))*101325/760)</f>
        <v>5363.3195627338973</v>
      </c>
      <c r="K69">
        <f>(J69/(R.*H69)-G69)</f>
        <v>0.45245809827702654</v>
      </c>
      <c r="L69">
        <f>a.*kc./G.*K69</f>
        <v>0.38808901336741497</v>
      </c>
      <c r="M69">
        <f>a.*h./(L.*Cpw.)*(H69-I69)+a.*lambda.*kc./(L.*Cpw.)*K69</f>
        <v>2.1513375597895519</v>
      </c>
      <c r="N69">
        <f>a.*kc./G.*(H69-I69)</f>
        <v>1.9135006096829459</v>
      </c>
    </row>
    <row r="70" spans="5:14" x14ac:dyDescent="0.25">
      <c r="E70">
        <v>68</v>
      </c>
      <c r="F70">
        <f>dz.*E70</f>
        <v>1.5461243868577099</v>
      </c>
      <c r="G70">
        <f>G69+L69*dz.</f>
        <v>1.6553105894690086</v>
      </c>
      <c r="H70">
        <f>H69+M69*dz.</f>
        <v>307.39144795457094</v>
      </c>
      <c r="I70">
        <f>I69+N69*dz.</f>
        <v>305.15516324444934</v>
      </c>
      <c r="J70">
        <f>(10^(AntA.-AntB./(AntC.+(H70-273.15)))*101325/760)</f>
        <v>5377.9338267331805</v>
      </c>
      <c r="K70">
        <f>(J70/(R.*H70)-G70)</f>
        <v>0.44901847339166134</v>
      </c>
      <c r="L70">
        <f>a.*kc./G.*K70</f>
        <v>0.38513872773168728</v>
      </c>
      <c r="M70">
        <f>a.*h./(L.*Cpw.)*(H70-I70)+a.*lambda.*kc./(L.*Cpw.)*K70</f>
        <v>2.1376551962263659</v>
      </c>
      <c r="N70">
        <f>a.*kc./G.*(H70-I70)</f>
        <v>1.9181390057214756</v>
      </c>
    </row>
    <row r="71" spans="5:14" x14ac:dyDescent="0.25">
      <c r="E71">
        <v>69</v>
      </c>
      <c r="F71">
        <f>dz.*E71</f>
        <v>1.5688615101938526</v>
      </c>
      <c r="G71">
        <f>G70+L70*dz.</f>
        <v>1.6640675362229691</v>
      </c>
      <c r="H71">
        <f>H70+M70*dz.</f>
        <v>307.44005208441769</v>
      </c>
      <c r="I71">
        <f>I70+N70*dz.</f>
        <v>305.19877620759831</v>
      </c>
      <c r="J71">
        <f>(10^(AntA.-AntB./(AntC.+(H71-273.15)))*101325/760)</f>
        <v>5392.4892762742375</v>
      </c>
      <c r="K71">
        <f>(J71/(R.*H71)-G71)</f>
        <v>0.44562334111484181</v>
      </c>
      <c r="L71">
        <f>a.*kc./G.*K71</f>
        <v>0.38222660495041699</v>
      </c>
      <c r="M71">
        <f>a.*h./(L.*Cpw.)*(H71-I71)+a.*lambda.*kc./(L.*Cpw.)*K71</f>
        <v>2.124108407174889</v>
      </c>
      <c r="N71">
        <f>a.*kc./G.*(H71-I71)</f>
        <v>1.9224201026156831</v>
      </c>
    </row>
    <row r="72" spans="5:14" x14ac:dyDescent="0.25">
      <c r="E72">
        <v>70</v>
      </c>
      <c r="F72">
        <f>dz.*E72</f>
        <v>1.5915986335299954</v>
      </c>
      <c r="G72">
        <f>G71+L71*dz.</f>
        <v>1.672758269682082</v>
      </c>
      <c r="H72">
        <f>H71+M71*dz.</f>
        <v>307.48834819925094</v>
      </c>
      <c r="I72">
        <f>I71+N71*dz.</f>
        <v>305.24248651057536</v>
      </c>
      <c r="J72">
        <f>(10^(AntA.-AntB./(AntC.+(H72-273.15)))*101325/760)</f>
        <v>5406.9862501471089</v>
      </c>
      <c r="K72">
        <f>(J72/(R.*H72)-G72)</f>
        <v>0.44227197203882262</v>
      </c>
      <c r="L72">
        <f>a.*kc./G.*K72</f>
        <v>0.37935201938526703</v>
      </c>
      <c r="M72">
        <f>a.*h./(L.*Cpw.)*(H72-I72)+a.*lambda.*kc./(L.*Cpw.)*K72</f>
        <v>2.1106954930330559</v>
      </c>
      <c r="N72">
        <f>a.*kc./G.*(H72-I72)</f>
        <v>1.9263535125945062</v>
      </c>
    </row>
    <row r="73" spans="5:14" x14ac:dyDescent="0.25">
      <c r="E73">
        <v>71</v>
      </c>
      <c r="F73">
        <f>dz.*E73</f>
        <v>1.6143357568661383</v>
      </c>
      <c r="G73">
        <f>G72+L72*dz.</f>
        <v>1.6813836433346596</v>
      </c>
      <c r="H73">
        <f>H72+M72*dz.</f>
        <v>307.53633934300109</v>
      </c>
      <c r="I73">
        <f>I72+N72*dz.</f>
        <v>305.28628624798023</v>
      </c>
      <c r="J73">
        <f>(10^(AntA.-AntB./(AntC.+(H73-273.15)))*101325/760)</f>
        <v>5421.4250858195173</v>
      </c>
      <c r="K73">
        <f>(J73/(R.*H73)-G73)</f>
        <v>0.43896365029374973</v>
      </c>
      <c r="L73">
        <f>a.*kc./G.*K73</f>
        <v>0.37651435700981939</v>
      </c>
      <c r="M73">
        <f>a.*h./(L.*Cpw.)*(H73-I73)+a.*lambda.*kc./(L.*Cpw.)*K73</f>
        <v>2.0974147798649962</v>
      </c>
      <c r="N73">
        <f>a.*kc./G.*(H73-I73)</f>
        <v>1.9299486272788446</v>
      </c>
    </row>
    <row r="74" spans="5:14" x14ac:dyDescent="0.25">
      <c r="E74">
        <v>72</v>
      </c>
      <c r="F74">
        <f>dz.*E74</f>
        <v>1.6370728802022811</v>
      </c>
      <c r="G74">
        <f>G73+L73*dz.</f>
        <v>1.6899444967078203</v>
      </c>
      <c r="H74">
        <f>H73+M73*dz.</f>
        <v>307.5840285215379</v>
      </c>
      <c r="I74">
        <f>I73+N73*dz.</f>
        <v>305.33016772795111</v>
      </c>
      <c r="J74">
        <f>(10^(AntA.-AntB./(AntC.+(H74-273.15)))*101325/760)</f>
        <v>5435.8061194178135</v>
      </c>
      <c r="K74">
        <f>(J74/(R.*H74)-G74)</f>
        <v>0.43569767327963893</v>
      </c>
      <c r="L74">
        <f>a.*kc./G.*K74</f>
        <v>0.37371301517968403</v>
      </c>
      <c r="M74">
        <f>a.*h./(L.*Cpw.)*(H74-I74)+a.*lambda.*kc./(L.*Cpw.)*K74</f>
        <v>2.0842646189535188</v>
      </c>
      <c r="N74">
        <f>a.*kc./G.*(H74-I74)</f>
        <v>1.9332146224843274</v>
      </c>
    </row>
    <row r="75" spans="5:14" x14ac:dyDescent="0.25">
      <c r="E75">
        <v>73</v>
      </c>
      <c r="F75">
        <f>dz.*E75</f>
        <v>1.6598100035384238</v>
      </c>
      <c r="G75">
        <f>G74+L74*dz.</f>
        <v>1.6984416556262827</v>
      </c>
      <c r="H75">
        <f>H74+M74*dz.</f>
        <v>307.63141870324421</v>
      </c>
      <c r="I75">
        <f>I74+N74*dz.</f>
        <v>305.37412346725779</v>
      </c>
      <c r="J75">
        <f>(10^(AntA.-AntB./(AntC.+(H75-273.15)))*101325/760)</f>
        <v>5450.1296857089428</v>
      </c>
      <c r="K75">
        <f>(J75/(R.*H75)-G75)</f>
        <v>0.43247335140390475</v>
      </c>
      <c r="L75">
        <f>a.*kc./G.*K75</f>
        <v>0.37094740240736829</v>
      </c>
      <c r="M75">
        <f>a.*h./(L.*Cpw.)*(H75-I75)+a.*lambda.*kc./(L.*Cpw.)*K75</f>
        <v>2.0712433863615218</v>
      </c>
      <c r="N75">
        <f>a.*kc./G.*(H75-I75)</f>
        <v>1.9361604629221767</v>
      </c>
    </row>
    <row r="76" spans="5:14" x14ac:dyDescent="0.25">
      <c r="E76">
        <v>74</v>
      </c>
      <c r="F76">
        <f>dz.*E76</f>
        <v>1.6825471268745666</v>
      </c>
      <c r="G76">
        <f>G75+L75*dz.</f>
        <v>1.7068759324660407</v>
      </c>
      <c r="H76">
        <f>H75+M75*dz.</f>
        <v>307.67851281957905</v>
      </c>
      <c r="I76">
        <f>I75+N75*dz.</f>
        <v>305.41814618650182</v>
      </c>
      <c r="J76">
        <f>(10^(AntA.-AntB./(AntC.+(H76-273.15)))*101325/760)</f>
        <v>5464.3961180832875</v>
      </c>
      <c r="K76">
        <f>(J76/(R.*H76)-G76)</f>
        <v>0.42929000782429916</v>
      </c>
      <c r="L76">
        <f>a.*kc./G.*K76</f>
        <v>0.36821693814178624</v>
      </c>
      <c r="M76">
        <f>a.*h./(L.*Cpw.)*(H76-I76)+a.*lambda.*kc./(L.*Cpw.)*K76</f>
        <v>2.0583494825018938</v>
      </c>
      <c r="N76">
        <f>a.*kc./G.*(H76-I76)</f>
        <v>1.9387949067992458</v>
      </c>
    </row>
    <row r="77" spans="5:14" x14ac:dyDescent="0.25">
      <c r="E77">
        <v>75</v>
      </c>
      <c r="F77">
        <f>dz.*E77</f>
        <v>1.7052842502107095</v>
      </c>
      <c r="G77">
        <f>G76+L76*dz.</f>
        <v>1.7152481264030275</v>
      </c>
      <c r="H77">
        <f>H76+M76*dz.</f>
        <v>307.7253137656316</v>
      </c>
      <c r="I77">
        <f>I76+N76*dz.</f>
        <v>305.4622288054212</v>
      </c>
      <c r="J77">
        <f>(10^(AntA.-AntB./(AntC.+(H77-273.15)))*101325/760)</f>
        <v>5478.6057485383517</v>
      </c>
      <c r="K77">
        <f>(J77/(R.*H77)-G77)</f>
        <v>0.42614697819711944</v>
      </c>
      <c r="L77">
        <f>a.*kc./G.*K77</f>
        <v>0.36552105255228817</v>
      </c>
      <c r="M77">
        <f>a.*h./(L.*Cpw.)*(H77-I77)+a.*lambda.*kc./(L.*Cpw.)*K77</f>
        <v>2.0455813317157592</v>
      </c>
      <c r="N77">
        <f>a.*kc./G.*(H77-I77)</f>
        <v>1.9411265103203945</v>
      </c>
    </row>
    <row r="78" spans="5:14" x14ac:dyDescent="0.25">
      <c r="E78">
        <v>76</v>
      </c>
      <c r="F78">
        <f>dz.*E78</f>
        <v>1.7280213735468521</v>
      </c>
      <c r="G78">
        <f>G77+L77*dz.</f>
        <v>1.7235590236568656</v>
      </c>
      <c r="H78">
        <f>H77+M77*dz.</f>
        <v>307.77182440066491</v>
      </c>
      <c r="I78">
        <f>I77+N77*dz.</f>
        <v>305.5063644382974</v>
      </c>
      <c r="J78">
        <f>(10^(AntA.-AntB./(AntC.+(H78-273.15)))*101325/760)</f>
        <v>5492.7589076633212</v>
      </c>
      <c r="K78">
        <f>(J78/(R.*H78)-G78)</f>
        <v>0.42304361043061656</v>
      </c>
      <c r="L78">
        <f>a.*kc./G.*K78</f>
        <v>0.36285918631715025</v>
      </c>
      <c r="M78">
        <f>a.*h./(L.*Cpw.)*(H78-I78)+a.*lambda.*kc./(L.*Cpw.)*K78</f>
        <v>2.0329373818589813</v>
      </c>
      <c r="N78">
        <f>a.*kc./G.*(H78-I78)</f>
        <v>1.9431636320945729</v>
      </c>
    </row>
    <row r="79" spans="5:14" x14ac:dyDescent="0.25">
      <c r="E79">
        <v>77</v>
      </c>
      <c r="F79">
        <f>dz.*E79</f>
        <v>1.750758496882995</v>
      </c>
      <c r="G79">
        <f>G78+L78*dz.</f>
        <v>1.731809397729811</v>
      </c>
      <c r="H79">
        <f>H78+M78*dz.</f>
        <v>307.8180475486509</v>
      </c>
      <c r="I79">
        <f>I78+N78*dz.</f>
        <v>305.55054638946262</v>
      </c>
      <c r="J79">
        <f>(10^(AntA.-AntB./(AntC.+(H79-273.15)))*101325/760)</f>
        <v>5506.8559246244904</v>
      </c>
      <c r="K79">
        <f>(J79/(R.*H79)-G79)</f>
        <v>0.41997926444348188</v>
      </c>
      <c r="L79">
        <f>a.*kc./G.*K79</f>
        <v>0.36023079041642009</v>
      </c>
      <c r="M79">
        <f>a.*h./(L.*Cpw.)*(H79-I79)+a.*lambda.*kc./(L.*Cpw.)*K79</f>
        <v>2.0204161038967436</v>
      </c>
      <c r="N79">
        <f>a.*kc./G.*(H79-I79)</f>
        <v>1.9449144374470957</v>
      </c>
    </row>
    <row r="80" spans="5:14" x14ac:dyDescent="0.25">
      <c r="E80">
        <v>78</v>
      </c>
      <c r="F80">
        <f>dz.*E80</f>
        <v>1.7734956202191379</v>
      </c>
      <c r="G80">
        <f>G79+L79*dz.</f>
        <v>1.7400000096409853</v>
      </c>
      <c r="H80">
        <f>H79+M79*dz.</f>
        <v>307.8639859987955</v>
      </c>
      <c r="I80">
        <f>I79+N79*dz.</f>
        <v>305.59476814890513</v>
      </c>
      <c r="J80">
        <f>(10^(AntA.-AntB./(AntC.+(H80-273.15)))*101325/760)</f>
        <v>5520.8971271514056</v>
      </c>
      <c r="K80">
        <f>(J80/(R.*H80)-G80)</f>
        <v>0.41695331192827223</v>
      </c>
      <c r="L80">
        <f>a.*kc./G.*K80</f>
        <v>0.35763532592899844</v>
      </c>
      <c r="M80">
        <f>a.*h./(L.*Cpw.)*(H80-I80)+a.*lambda.*kc./(L.*Cpw.)*K80</f>
        <v>2.0080159915058724</v>
      </c>
      <c r="N80">
        <f>a.*kc./G.*(H80-I80)</f>
        <v>1.9463869026397194</v>
      </c>
    </row>
    <row r="81" spans="5:14" x14ac:dyDescent="0.25">
      <c r="E81">
        <v>79</v>
      </c>
      <c r="F81">
        <f>dz.*E81</f>
        <v>1.7962327435552805</v>
      </c>
      <c r="G81">
        <f>G80+L80*dz.</f>
        <v>1.7481316081559946</v>
      </c>
      <c r="H81">
        <f>H80+M80*dz.</f>
        <v>307.90964250605532</v>
      </c>
      <c r="I81">
        <f>I80+N80*dz.</f>
        <v>305.63902338797033</v>
      </c>
      <c r="J81">
        <f>(10^(AntA.-AntB./(AntC.+(H81-273.15)))*101325/760)</f>
        <v>5534.8828415237931</v>
      </c>
      <c r="K81">
        <f>(J81/(R.*H81)-G81)</f>
        <v>0.41396513611968921</v>
      </c>
      <c r="L81">
        <f>a.*kc./G.*K81</f>
        <v>0.35507226383388407</v>
      </c>
      <c r="M81">
        <f>a.*h./(L.*Cpw.)*(H81-I81)+a.*lambda.*kc./(L.*Cpw.)*K81</f>
        <v>1.9957355606848723</v>
      </c>
      <c r="N81">
        <f>a.*kc./G.*(H81-I81)</f>
        <v>1.9475888190010062</v>
      </c>
    </row>
    <row r="82" spans="5:14" x14ac:dyDescent="0.25">
      <c r="E82">
        <v>80</v>
      </c>
      <c r="F82">
        <f>dz.*E82</f>
        <v>1.8189698668914234</v>
      </c>
      <c r="G82">
        <f>G81+L81*dz.</f>
        <v>1.756204930012029</v>
      </c>
      <c r="H82">
        <f>H81+M81*dz.</f>
        <v>307.95501979164493</v>
      </c>
      <c r="I82">
        <f>I81+N81*dz.</f>
        <v>305.68330595515607</v>
      </c>
      <c r="J82">
        <f>(10^(AntA.-AntB./(AntC.+(H82-273.15)))*101325/760)</f>
        <v>5548.8133925593065</v>
      </c>
      <c r="K82">
        <f>(J82/(R.*H82)-G82)</f>
        <v>0.41101413156765121</v>
      </c>
      <c r="L82">
        <f>a.*kc./G.*K82</f>
        <v>0.35254108481553004</v>
      </c>
      <c r="M82">
        <f>a.*h./(L.*Cpw.)*(H82-I82)+a.*lambda.*kc./(L.*Cpw.)*K82</f>
        <v>1.9835733493715832</v>
      </c>
      <c r="N82">
        <f>a.*kc./G.*(H82-I82)</f>
        <v>1.9485277969680004</v>
      </c>
    </row>
    <row r="83" spans="5:14" x14ac:dyDescent="0.25">
      <c r="E83">
        <v>81</v>
      </c>
      <c r="F83">
        <f>dz.*E83</f>
        <v>1.8417069902275662</v>
      </c>
      <c r="G83">
        <f>G82+L82*dz.</f>
        <v>1.7642207001385373</v>
      </c>
      <c r="H83">
        <f>H82+M82*dz.</f>
        <v>308.0001205435359</v>
      </c>
      <c r="I83">
        <f>I82+N82*dz.</f>
        <v>305.72760987199962</v>
      </c>
      <c r="J83">
        <f>(10^(AntA.-AntB./(AntC.+(H83-273.15)))*101325/760)</f>
        <v>5562.6891036019515</v>
      </c>
      <c r="K83">
        <f>(J83/(R.*H83)-G83)</f>
        <v>0.40809970391498673</v>
      </c>
      <c r="L83">
        <f>a.*kc./G.*K83</f>
        <v>0.35004127907316329</v>
      </c>
      <c r="M83">
        <f>a.*h./(L.*Cpw.)*(H83-I83)+a.*lambda.*kc./(L.*Cpw.)*K83</f>
        <v>1.9715279170681441</v>
      </c>
      <c r="N83">
        <f>a.*kc./G.*(H83-I83)</f>
        <v>1.9492112700421902</v>
      </c>
    </row>
    <row r="84" spans="5:14" x14ac:dyDescent="0.25">
      <c r="E84">
        <v>82</v>
      </c>
      <c r="F84">
        <f>dz.*E84</f>
        <v>1.8644441135637089</v>
      </c>
      <c r="G84">
        <f>G83+L83*dz.</f>
        <v>1.772179631873565</v>
      </c>
      <c r="H84">
        <f>H83+M83*dz.</f>
        <v>308.04494741694691</v>
      </c>
      <c r="I84">
        <f>I83+N83*dz.</f>
        <v>305.77192932905479</v>
      </c>
      <c r="J84">
        <f>(10^(AntA.-AntB./(AntC.+(H84-273.15)))*101325/760)</f>
        <v>5576.5102965111646</v>
      </c>
      <c r="K84">
        <f>(J84/(R.*H84)-G84)</f>
        <v>0.40522126967967553</v>
      </c>
      <c r="L84">
        <f>a.*kc./G.*K84</f>
        <v>0.34757234613400534</v>
      </c>
      <c r="M84">
        <f>a.*h./(L.*Cpw.)*(H84-I84)+a.*lambda.*kc./(L.*Cpw.)*K84</f>
        <v>1.9595978444730515</v>
      </c>
      <c r="N84">
        <f>a.*kc./G.*(H84-I84)</f>
        <v>1.9496464986603896</v>
      </c>
    </row>
    <row r="85" spans="5:14" x14ac:dyDescent="0.25">
      <c r="E85">
        <v>83</v>
      </c>
      <c r="F85">
        <f>dz.*E85</f>
        <v>1.8871812368998517</v>
      </c>
      <c r="G85">
        <f>G84+L84*dz.</f>
        <v>1.7800824271758464</v>
      </c>
      <c r="H85">
        <f>H84+M84*dz.</f>
        <v>308.08950303482595</v>
      </c>
      <c r="I85">
        <f>I84+N84*dz.</f>
        <v>305.8162586819567</v>
      </c>
      <c r="J85">
        <f>(10^(AntA.-AntB./(AntC.+(H85-273.15)))*101325/760)</f>
        <v>5590.2772916516997</v>
      </c>
      <c r="K85">
        <f>(J85/(R.*H85)-G85)</f>
        <v>0.40237825604158894</v>
      </c>
      <c r="L85">
        <f>a.*kc./G.*K85</f>
        <v>0.34513379467035227</v>
      </c>
      <c r="M85">
        <f>a.*h./(L.*Cpw.)*(H85-I85)+a.*lambda.*kc./(L.*Cpw.)*K85</f>
        <v>1.9477817331205585</v>
      </c>
      <c r="N85">
        <f>a.*kc./G.*(H85-I85)</f>
        <v>1.9498405739837583</v>
      </c>
    </row>
    <row r="86" spans="5:14" x14ac:dyDescent="0.25">
      <c r="E86">
        <v>84</v>
      </c>
      <c r="F86">
        <f>dz.*E86</f>
        <v>1.9099183602359946</v>
      </c>
      <c r="G86">
        <f>G85+L85*dz.</f>
        <v>1.7879297768327371</v>
      </c>
      <c r="H86">
        <f>H85+M85*dz.</f>
        <v>308.13378998832383</v>
      </c>
      <c r="I86">
        <f>I85+N85*dz.</f>
        <v>305.8605924475732</v>
      </c>
      <c r="J86">
        <f>(10^(AntA.-AntB./(AntC.+(H86-273.15)))*101325/760)</f>
        <v>5603.9904078840464</v>
      </c>
      <c r="K86">
        <f>(J86/(R.*H86)-G86)</f>
        <v>0.39957010063354859</v>
      </c>
      <c r="L86">
        <f>a.*kc./G.*K86</f>
        <v>0.34272514232035828</v>
      </c>
      <c r="M86">
        <f>a.*h./(L.*Cpw.)*(H86-I86)+a.*lambda.*kc./(L.*Cpw.)*K86</f>
        <v>1.9360782050266661</v>
      </c>
      <c r="N86">
        <f>a.*kc./G.*(H86-I86)</f>
        <v>1.9498004216050069</v>
      </c>
    </row>
    <row r="87" spans="5:14" x14ac:dyDescent="0.25">
      <c r="E87">
        <v>85</v>
      </c>
      <c r="F87">
        <f>dz.*E87</f>
        <v>1.9326554835721372</v>
      </c>
      <c r="G87">
        <f>G86+L86*dz.</f>
        <v>1.7957223606640722</v>
      </c>
      <c r="H87">
        <f>H86+M86*dz.</f>
        <v>308.17781083725993</v>
      </c>
      <c r="I87">
        <f>I86+N86*dz.</f>
        <v>305.90492530024011</v>
      </c>
      <c r="J87">
        <f>(10^(AntA.-AntB./(AntC.+(H87-273.15)))*101325/760)</f>
        <v>5617.6499625555543</v>
      </c>
      <c r="K87">
        <f>(J87/(R.*H87)-G87)</f>
        <v>0.39679625133668295</v>
      </c>
      <c r="L87">
        <f>a.*kc./G.*K87</f>
        <v>0.3403459155125062</v>
      </c>
      <c r="M87">
        <f>a.*h./(L.*Cpw.)*(H87-I87)+a.*lambda.*kc./(L.*Cpw.)*K87</f>
        <v>1.9244859023420779</v>
      </c>
      <c r="N87">
        <f>a.*kc./G.*(H87-I87)</f>
        <v>1.9495328051770571</v>
      </c>
    </row>
    <row r="88" spans="5:14" x14ac:dyDescent="0.25">
      <c r="E88">
        <v>86</v>
      </c>
      <c r="F88">
        <f>dz.*E88</f>
        <v>1.9553926069082801</v>
      </c>
      <c r="G88">
        <f>G87+L87*dz.</f>
        <v>1.8034608477220324</v>
      </c>
      <c r="H88">
        <f>H87+M87*dz.</f>
        <v>308.22156811058017</v>
      </c>
      <c r="I88">
        <f>I87+N87*dz.</f>
        <v>305.94925206807926</v>
      </c>
      <c r="J88">
        <f>(10^(AntA.-AntB./(AntC.+(H88-273.15)))*101325/760)</f>
        <v>5631.2562714922142</v>
      </c>
      <c r="K88">
        <f>(J88/(R.*H88)-G88)</f>
        <v>0.39405616607997862</v>
      </c>
      <c r="L88">
        <f>a.*kc./G.*K88</f>
        <v>0.33799564929367526</v>
      </c>
      <c r="M88">
        <f>a.*h./(L.*Cpw.)*(H88-I88)+a.*lambda.*kc./(L.*Cpw.)*K88</f>
        <v>1.9130034870118044</v>
      </c>
      <c r="N88">
        <f>a.*kc./G.*(H88-I88)</f>
        <v>1.9490443299639824</v>
      </c>
    </row>
    <row r="89" spans="5:14" x14ac:dyDescent="0.25">
      <c r="E89">
        <v>87</v>
      </c>
      <c r="F89">
        <f>dz.*E89</f>
        <v>1.978129730244423</v>
      </c>
      <c r="G89">
        <f>G88+L88*dz.</f>
        <v>1.8111458964871023</v>
      </c>
      <c r="H89">
        <f>H88+M88*dz.</f>
        <v>308.26506430680683</v>
      </c>
      <c r="I89">
        <f>I88+N88*dz.</f>
        <v>305.99356772939728</v>
      </c>
      <c r="J89">
        <f>(10^(AntA.-AntB./(AntC.+(H89-273.15)))*101325/760)</f>
        <v>5644.8096489909058</v>
      </c>
      <c r="K89">
        <f>(J89/(R.*H89)-G89)</f>
        <v>0.39134931264387318</v>
      </c>
      <c r="L89">
        <f>a.*kc./G.*K89</f>
        <v>0.33567388716067625</v>
      </c>
      <c r="M89">
        <f>a.*h./(L.*Cpw.)*(H89-I89)+a.*lambda.*kc./(L.*Cpw.)*K89</f>
        <v>1.9016296404409843</v>
      </c>
      <c r="N89">
        <f>a.*kc./G.*(H89-I89)</f>
        <v>1.9483414463157427</v>
      </c>
    </row>
    <row r="90" spans="5:14" x14ac:dyDescent="0.25">
      <c r="E90">
        <v>88</v>
      </c>
      <c r="F90">
        <f>dz.*E90</f>
        <v>2.0008668535805656</v>
      </c>
      <c r="G90">
        <f>G89+L89*dz.</f>
        <v>1.8187781550601971</v>
      </c>
      <c r="H90">
        <f>H89+M89*dz.</f>
        <v>308.30830189448119</v>
      </c>
      <c r="I90">
        <f>I89+N89*dz.</f>
        <v>306.03786740916308</v>
      </c>
      <c r="J90">
        <f>(10^(AntA.-AntB./(AntC.+(H90-273.15)))*101325/760)</f>
        <v>5658.3104078123852</v>
      </c>
      <c r="K90">
        <f>(J90/(R.*H90)-G90)</f>
        <v>0.38867516846792149</v>
      </c>
      <c r="L90">
        <f>a.*kc./G.*K90</f>
        <v>0.33338018089527993</v>
      </c>
      <c r="M90">
        <f>a.*h./(L.*Cpw.)*(H90-I90)+a.*lambda.*kc./(L.*Cpw.)*K90</f>
        <v>1.8903630631674113</v>
      </c>
      <c r="N90">
        <f>a.*kc./G.*(H90-I90)</f>
        <v>1.9474304530691995</v>
      </c>
    </row>
    <row r="91" spans="5:14" x14ac:dyDescent="0.25">
      <c r="E91">
        <v>89</v>
      </c>
      <c r="F91">
        <f>dz.*E91</f>
        <v>2.0236039769167085</v>
      </c>
      <c r="G91">
        <f>G90+L90*dz.</f>
        <v>1.8263582613510387</v>
      </c>
      <c r="H91">
        <f>H90+M90*dz.</f>
        <v>308.35128331259853</v>
      </c>
      <c r="I91">
        <f>I90+N90*dz.</f>
        <v>306.08214637556307</v>
      </c>
      <c r="J91">
        <f>(10^(AntA.-AntB./(AntC.+(H91-273.15)))*101325/760)</f>
        <v>5671.7588591747599</v>
      </c>
      <c r="K91">
        <f>(J91/(R.*H91)-G91)</f>
        <v>0.38603322046234889</v>
      </c>
      <c r="L91">
        <f>a.*kc./G.*K91</f>
        <v>0.33111409040257994</v>
      </c>
      <c r="M91">
        <f>a.*h./(L.*Cpw.)*(H91-I91)+a.*lambda.*kc./(L.*Cpw.)*K91</f>
        <v>1.8792024745400633</v>
      </c>
      <c r="N91">
        <f>a.*kc./G.*(H91-I91)</f>
        <v>1.9463175008759954</v>
      </c>
    </row>
    <row r="92" spans="5:14" x14ac:dyDescent="0.25">
      <c r="E92">
        <v>90</v>
      </c>
      <c r="F92">
        <f>dz.*E92</f>
        <v>2.0463411002528513</v>
      </c>
      <c r="G92">
        <f>G91+L91*dz.</f>
        <v>1.833886843262857</v>
      </c>
      <c r="H92">
        <f>H91+M91*dz.</f>
        <v>308.39401097103575</v>
      </c>
      <c r="I92">
        <f>I91+N91*dz.</f>
        <v>306.12640003663176</v>
      </c>
      <c r="J92">
        <f>(10^(AntA.-AntB./(AntC.+(H92-273.15)))*101325/760)</f>
        <v>5685.155312747469</v>
      </c>
      <c r="K92">
        <f>(J92/(R.*H92)-G92)</f>
        <v>0.38342296482343308</v>
      </c>
      <c r="L92">
        <f>a.*kc./G.*K92</f>
        <v>0.32887518355263928</v>
      </c>
      <c r="M92">
        <f>a.*h./(L.*Cpw.)*(H92-I92)+a.*lambda.*kc./(L.*Cpw.)*K92</f>
        <v>1.868146612403677</v>
      </c>
      <c r="N92">
        <f>a.*kc./G.*(H92-I92)</f>
        <v>1.9450085954593468</v>
      </c>
    </row>
    <row r="93" spans="5:14" x14ac:dyDescent="0.25">
      <c r="E93">
        <v>91</v>
      </c>
      <c r="F93">
        <f>dz.*E93</f>
        <v>2.0690782235889942</v>
      </c>
      <c r="G93">
        <f>G92+L92*dz.</f>
        <v>1.84136451887349</v>
      </c>
      <c r="H93">
        <f>H92+M92*dz.</f>
        <v>308.43648725097199</v>
      </c>
      <c r="I93">
        <f>I92+N92*dz.</f>
        <v>306.17062393695659</v>
      </c>
      <c r="J93">
        <f>(10^(AntA.-AntB./(AntC.+(H93-273.15)))*101325/760)</f>
        <v>5698.5000766458716</v>
      </c>
      <c r="K93">
        <f>(J93/(R.*H93)-G93)</f>
        <v>0.38084390685267921</v>
      </c>
      <c r="L93">
        <f>a.*kc./G.*K93</f>
        <v>0.32666303602539043</v>
      </c>
      <c r="M93">
        <f>a.*h./(L.*Cpw.)*(H93-I93)+a.*lambda.*kc./(L.*Cpw.)*K93</f>
        <v>1.8571942327894295</v>
      </c>
      <c r="N93">
        <f>a.*kc./G.*(H93-I93)</f>
        <v>1.9435096008012129</v>
      </c>
    </row>
    <row r="94" spans="5:14" x14ac:dyDescent="0.25">
      <c r="E94">
        <v>92</v>
      </c>
      <c r="F94">
        <f>dz.*E94</f>
        <v>2.091815346925137</v>
      </c>
      <c r="G94">
        <f>G93+L93*dz.</f>
        <v>1.8487918966129582</v>
      </c>
      <c r="H94">
        <f>H93+M93*dz.</f>
        <v>308.47871450530209</v>
      </c>
      <c r="I94">
        <f>I93+N93*dz.</f>
        <v>306.21481375445501</v>
      </c>
      <c r="J94">
        <f>(10^(AntA.-AntB./(AntC.+(H94-273.15)))*101325/760)</f>
        <v>5711.7934574262817</v>
      </c>
      <c r="K94">
        <f>(J94/(R.*H94)-G94)</f>
        <v>0.37829556077964388</v>
      </c>
      <c r="L94">
        <f>a.*kc./G.*K94</f>
        <v>0.32447723115866556</v>
      </c>
      <c r="M94">
        <f>a.*h./(L.*Cpw.)*(H94-I94)+a.*lambda.*kc./(L.*Cpw.)*K94</f>
        <v>1.8463441096113309</v>
      </c>
      <c r="N94">
        <f>a.*kc./G.*(H94-I94)</f>
        <v>1.9418262422613506</v>
      </c>
    </row>
    <row r="95" spans="5:14" x14ac:dyDescent="0.25">
      <c r="E95">
        <v>93</v>
      </c>
      <c r="F95">
        <f>dz.*E95</f>
        <v>2.1145524702612795</v>
      </c>
      <c r="G95">
        <f>G94+L94*dz.</f>
        <v>1.8561695754375829</v>
      </c>
      <c r="H95">
        <f>H94+M94*dz.</f>
        <v>308.52069505904331</v>
      </c>
      <c r="I95">
        <f>I94+N94*dz.</f>
        <v>306.25896529722269</v>
      </c>
      <c r="J95">
        <f>(10^(AntA.-AntB./(AntC.+(H95-273.15)))*101325/760)</f>
        <v>5725.0357600815541</v>
      </c>
      <c r="K95">
        <f>(J95/(R.*H95)-G95)</f>
        <v>0.37577744958839032</v>
      </c>
      <c r="L95">
        <f>a.*kc./G.*K95</f>
        <v>0.3223173597993409</v>
      </c>
      <c r="M95">
        <f>a.*h./(L.*Cpw.)*(H95-I95)+a.*lambda.*kc./(L.*Cpw.)*K95</f>
        <v>1.835595034368438</v>
      </c>
      <c r="N95">
        <f>a.*kc./G.*(H95-I95)</f>
        <v>1.9399641096295741</v>
      </c>
    </row>
    <row r="96" spans="5:14" x14ac:dyDescent="0.25">
      <c r="E96">
        <v>94</v>
      </c>
      <c r="F96">
        <f>dz.*E96</f>
        <v>2.1372895935974223</v>
      </c>
      <c r="G96">
        <f>G95+L95*dz.</f>
        <v>1.8634981450007204</v>
      </c>
      <c r="H96">
        <f>H95+M95*dz.</f>
        <v>308.56243120973494</v>
      </c>
      <c r="I96">
        <f>I95+N95*dz.</f>
        <v>306.30307450045103</v>
      </c>
      <c r="J96">
        <f>(10^(AntA.-AntB./(AntC.+(H96-273.15)))*101325/760)</f>
        <v>5738.227288037102</v>
      </c>
      <c r="K96">
        <f>(J96/(R.*H96)-G96)</f>
        <v>0.37328910484744982</v>
      </c>
      <c r="L96">
        <f>a.*kc./G.*K96</f>
        <v>0.32018302015748901</v>
      </c>
      <c r="M96">
        <f>a.*h./(L.*Cpw.)*(H96-I96)+a.*lambda.*kc./(L.*Cpw.)*K96</f>
        <v>1.8249458158525487</v>
      </c>
      <c r="N96">
        <f>a.*kc./G.*(H96-I96)</f>
        <v>1.9379286601124843</v>
      </c>
    </row>
    <row r="97" spans="5:14" x14ac:dyDescent="0.25">
      <c r="E97">
        <v>95</v>
      </c>
      <c r="F97">
        <f>dz.*E97</f>
        <v>2.1600267169335652</v>
      </c>
      <c r="G97">
        <f>G96+L96*dz.</f>
        <v>1.87077818582018</v>
      </c>
      <c r="H97">
        <f>H96+M96*dz.</f>
        <v>308.60392522783178</v>
      </c>
      <c r="I97">
        <f>I96+N96*dz.</f>
        <v>306.34713742341268</v>
      </c>
      <c r="J97">
        <f>(10^(AntA.-AntB./(AntC.+(H97-273.15)))*101325/760)</f>
        <v>5751.368343147411</v>
      </c>
      <c r="K97">
        <f>(J97/(R.*H97)-G97)</f>
        <v>0.37083006654325135</v>
      </c>
      <c r="L97">
        <f>a.*kc./G.*K97</f>
        <v>0.31807381766350518</v>
      </c>
      <c r="M97">
        <f>a.*h./(L.*Cpw.)*(H97-I97)+a.*lambda.*kc./(L.*Cpw.)*K97</f>
        <v>1.8143952798614804</v>
      </c>
      <c r="N97">
        <f>a.*kc./G.*(H97-I97)</f>
        <v>1.9357252212565721</v>
      </c>
    </row>
    <row r="98" spans="5:14" x14ac:dyDescent="0.25">
      <c r="E98">
        <v>96</v>
      </c>
      <c r="F98">
        <f>dz.*E98</f>
        <v>2.182763840269708</v>
      </c>
      <c r="G98">
        <f>G97+L97*dz.</f>
        <v>1.8780102694423928</v>
      </c>
      <c r="H98">
        <f>H97+M97*dz.</f>
        <v>308.64517935709051</v>
      </c>
      <c r="I98">
        <f>I97+N97*dz.</f>
        <v>306.39115024651329</v>
      </c>
      <c r="J98">
        <f>(10^(AntA.-AntB./(AntC.+(H98-273.15)))*101325/760)</f>
        <v>5764.45922569296</v>
      </c>
      <c r="K98">
        <f>(J98/(R.*H98)-G98)</f>
        <v>0.36839988291691417</v>
      </c>
      <c r="L98">
        <f>a.*kc./G.*K98</f>
        <v>0.31598936482811935</v>
      </c>
      <c r="M98">
        <f>a.*h./(L.*Cpw.)*(H98-I98)+a.*lambda.*kc./(L.*Cpw.)*K98</f>
        <v>1.803942268917595</v>
      </c>
      <c r="N98">
        <f>a.*kc./G.*(H98-I98)</f>
        <v>1.9333589938084255</v>
      </c>
    </row>
    <row r="99" spans="5:14" x14ac:dyDescent="0.25">
      <c r="E99">
        <v>97</v>
      </c>
      <c r="F99">
        <f>dz.*E99</f>
        <v>2.2055009636058509</v>
      </c>
      <c r="G99">
        <f>G98+L98*dz.</f>
        <v>1.8851949586033991</v>
      </c>
      <c r="H99">
        <f>H98+M98*dz.</f>
        <v>308.68619581495017</v>
      </c>
      <c r="I99">
        <f>I98+N98*dz.</f>
        <v>306.43510926840855</v>
      </c>
      <c r="J99">
        <f>(10^(AntA.-AntB./(AntC.+(H99-273.15)))*101325/760)</f>
        <v>5777.5002343775841</v>
      </c>
      <c r="K99">
        <f>(J99/(R.*H99)-G99)</f>
        <v>0.36599811030435569</v>
      </c>
      <c r="L99">
        <f>a.*kc./G.*K99</f>
        <v>0.31392928110525048</v>
      </c>
      <c r="M99">
        <f>a.*h./(L.*Cpw.)*(H99-I99)+a.*lambda.*kc./(L.*Cpw.)*K99</f>
        <v>1.7935856419916423</v>
      </c>
      <c r="N99">
        <f>a.*kc./G.*(H99-I99)</f>
        <v>1.9308350545139412</v>
      </c>
    </row>
    <row r="100" spans="5:14" x14ac:dyDescent="0.25">
      <c r="E100">
        <v>98</v>
      </c>
      <c r="F100">
        <f>dz.*E100</f>
        <v>2.2282380869419938</v>
      </c>
      <c r="G100">
        <f>G99+L99*dz.</f>
        <v>1.8923328073867158</v>
      </c>
      <c r="H100">
        <f>H99+M99*dz.</f>
        <v>308.72697679290604</v>
      </c>
      <c r="I100">
        <f>I99+N99*dz.</f>
        <v>306.47901090318476</v>
      </c>
      <c r="J100">
        <f>(10^(AntA.-AntB./(AntC.+(H100-273.15)))*101325/760)</f>
        <v>5790.4916663263548</v>
      </c>
      <c r="K100">
        <f>(J100/(R.*H100)-G100)</f>
        <v>0.36362431297967968</v>
      </c>
      <c r="L100">
        <f>a.*kc./G.*K100</f>
        <v>0.31189319275767563</v>
      </c>
      <c r="M100">
        <f>a.*h./(L.*Cpw.)*(H100-I100)+a.*lambda.*kc./(L.*Cpw.)*K100</f>
        <v>1.7833242742318758</v>
      </c>
      <c r="N100">
        <f>a.*kc./G.*(H100-I100)</f>
        <v>1.9281583588573232</v>
      </c>
    </row>
    <row r="101" spans="5:14" x14ac:dyDescent="0.25">
      <c r="E101">
        <v>99</v>
      </c>
      <c r="F101">
        <f>dz.*E101</f>
        <v>2.2509752102781366</v>
      </c>
      <c r="G101">
        <f>G100+L100*dz.</f>
        <v>1.8994243613781505</v>
      </c>
      <c r="H101">
        <f>H100+M100*dz.</f>
        <v>308.7675244568776</v>
      </c>
      <c r="I101">
        <f>I100+N100*dz.</f>
        <v>306.52285167760169</v>
      </c>
      <c r="J101">
        <f>(10^(AntA.-AntB./(AntC.+(H101-273.15)))*101325/760)</f>
        <v>5803.4338170836972</v>
      </c>
      <c r="K101">
        <f>(J101/(R.*H101)-G101)</f>
        <v>0.36127806300166632</v>
      </c>
      <c r="L101">
        <f>a.*kc./G.*K101</f>
        <v>0.30988073272535899</v>
      </c>
      <c r="M101">
        <f>a.*h./(L.*Cpw.)*(H101-I101)+a.*lambda.*kc./(L.*Cpw.)*K101</f>
        <v>1.7731570566979384</v>
      </c>
      <c r="N101">
        <f>a.*kc./G.*(H101-I101)</f>
        <v>1.9253337437415243</v>
      </c>
    </row>
    <row r="102" spans="5:14" x14ac:dyDescent="0.25">
      <c r="E102">
        <v>100</v>
      </c>
      <c r="F102">
        <f>dz.*E102</f>
        <v>2.273712333614279</v>
      </c>
      <c r="G102">
        <f>G101+L101*dz.</f>
        <v>1.9064701578176213</v>
      </c>
      <c r="H102">
        <f>H101+M101*dz.</f>
        <v>308.80784094757007</v>
      </c>
      <c r="I102">
        <f>I101+N101*dz.</f>
        <v>306.56662822839638</v>
      </c>
      <c r="J102">
        <f>(10^(AntA.-AntB./(AntC.+(H102-273.15)))*101325/760)</f>
        <v>5816.326980611977</v>
      </c>
      <c r="K102">
        <f>(J102/(R.*H102)-G102)</f>
        <v>0.35895894006340701</v>
      </c>
      <c r="L102">
        <f>a.*kc./G.*K102</f>
        <v>0.30789154049647827</v>
      </c>
      <c r="M102">
        <f>a.*h./(L.*Cpw.)*(H102-I102)+a.*lambda.*kc./(L.*Cpw.)*K102</f>
        <v>1.7630828960998244</v>
      </c>
      <c r="N102">
        <f>a.*kc./G.*(H102-I102)</f>
        <v>1.9223659301111056</v>
      </c>
    </row>
    <row r="103" spans="5:14" x14ac:dyDescent="0.25">
      <c r="E103">
        <v>101</v>
      </c>
      <c r="F103">
        <f>dz.*E103</f>
        <v>2.2964494569504219</v>
      </c>
      <c r="G103">
        <f>G102+L102*dz.</f>
        <v>1.9134707257480448</v>
      </c>
      <c r="H103">
        <f>H102+M102*dz.</f>
        <v>308.84792838083052</v>
      </c>
      <c r="I103">
        <f>I102+N102*dz.</f>
        <v>306.61033729964652</v>
      </c>
      <c r="J103">
        <f>(10^(AntA.-AntB./(AntC.+(H103-273.15)))*101325/760)</f>
        <v>5829.1714492905494</v>
      </c>
      <c r="K103">
        <f>(J103/(R.*H103)-G103)</f>
        <v>0.35666653134500836</v>
      </c>
      <c r="L103">
        <f>a.*kc./G.*K103</f>
        <v>0.30592526198108422</v>
      </c>
      <c r="M103">
        <f>a.*h./(L.*Cpw.)*(H103-I103)+a.*lambda.*kc./(L.*Cpw.)*K103</f>
        <v>1.7531007145418254</v>
      </c>
      <c r="N103">
        <f>a.*kc./G.*(H103-I103)</f>
        <v>1.9192595255190743</v>
      </c>
    </row>
    <row r="104" spans="5:14" x14ac:dyDescent="0.25">
      <c r="E104">
        <v>102</v>
      </c>
      <c r="F104">
        <f>dz.*E104</f>
        <v>2.3191865802865648</v>
      </c>
      <c r="G104">
        <f>G103+L103*dz.</f>
        <v>1.9204265861613505</v>
      </c>
      <c r="H104">
        <f>H103+M103*dz.</f>
        <v>308.88778884799774</v>
      </c>
      <c r="I104">
        <f>I103+N103*dz.</f>
        <v>306.65397574019232</v>
      </c>
      <c r="J104">
        <f>(10^(AntA.-AntB./(AntC.+(H104-273.15)))*101325/760)</f>
        <v>5841.9675139150313</v>
      </c>
      <c r="K104">
        <f>(J104/(R.*H104)-G104)</f>
        <v>0.35440043136921995</v>
      </c>
      <c r="L104">
        <f>a.*kc./G.*K104</f>
        <v>0.30398154938726696</v>
      </c>
      <c r="M104">
        <f>a.*h./(L.*Cpw.)*(H104-I104)+a.*lambda.*kc./(L.*Cpw.)*K104</f>
        <v>1.743209449270946</v>
      </c>
      <c r="N104">
        <f>a.*kc./G.*(H104-I104)</f>
        <v>1.9160190266383859</v>
      </c>
    </row>
    <row r="105" spans="5:14" x14ac:dyDescent="0.25">
      <c r="E105">
        <v>103</v>
      </c>
      <c r="F105">
        <f>dz.*E105</f>
        <v>2.3419237036227076</v>
      </c>
      <c r="G105">
        <f>G104+L104*dz.</f>
        <v>1.9273382521416806</v>
      </c>
      <c r="H105">
        <f>H104+M104*dz.</f>
        <v>308.92742441624654</v>
      </c>
      <c r="I105">
        <f>I104+N104*dz.</f>
        <v>306.69754050111538</v>
      </c>
      <c r="J105">
        <f>(10^(AntA.-AntB./(AntC.+(H105-273.15)))*101325/760)</f>
        <v>5854.7154636969744</v>
      </c>
      <c r="K105">
        <f>(J105/(R.*H105)-G105)</f>
        <v>0.35216024185999428</v>
      </c>
      <c r="L105">
        <f>a.*kc./G.*K105</f>
        <v>0.30206006109983857</v>
      </c>
      <c r="M105">
        <f>a.*h./(L.*Cpw.)*(H105-I105)+a.*lambda.*kc./(L.*Cpw.)*K105</f>
        <v>1.7334080524300588</v>
      </c>
      <c r="N105">
        <f>a.*kc./G.*(H105-I105)</f>
        <v>1.9126488217197597</v>
      </c>
    </row>
    <row r="106" spans="5:14" x14ac:dyDescent="0.25">
      <c r="E106">
        <v>104</v>
      </c>
      <c r="F106">
        <f>dz.*E106</f>
        <v>2.3646608269588505</v>
      </c>
      <c r="G106">
        <f>G105+L105*dz.</f>
        <v>1.9342062290058304</v>
      </c>
      <c r="H106">
        <f>H105+M105*dz.</f>
        <v>308.9668371289265</v>
      </c>
      <c r="I106">
        <f>I105+N105*dz.</f>
        <v>306.74102863327357</v>
      </c>
      <c r="J106">
        <f>(10^(AntA.-AntB./(AntC.+(H106-273.15)))*101325/760)</f>
        <v>5867.4155862639609</v>
      </c>
      <c r="K106">
        <f>(J106/(R.*H106)-G106)</f>
        <v>0.34994557160393924</v>
      </c>
      <c r="L106">
        <f>a.*kc./G.*K106</f>
        <v>0.30016046156149567</v>
      </c>
      <c r="M106">
        <f>a.*h./(L.*Cpw.)*(H106-I106)+a.*lambda.*kc./(L.*Cpw.)*K106</f>
        <v>1.7236954908157376</v>
      </c>
      <c r="N106">
        <f>a.*kc./G.*(H106-I106)</f>
        <v>1.9091531929966001</v>
      </c>
    </row>
    <row r="107" spans="5:14" x14ac:dyDescent="0.25">
      <c r="E107">
        <v>105</v>
      </c>
      <c r="F107">
        <f>dz.*E107</f>
        <v>2.3873979502949934</v>
      </c>
      <c r="G107">
        <f>G106+L106*dz.</f>
        <v>1.9410310144409877</v>
      </c>
      <c r="H107">
        <f>H106+M106*dz.</f>
        <v>309.00602900589513</v>
      </c>
      <c r="I107">
        <f>I106+N106*dz.</f>
        <v>306.78443728489032</v>
      </c>
      <c r="J107">
        <f>(10^(AntA.-AntB./(AntC.+(H107-273.15)))*101325/760)</f>
        <v>5880.0681676598942</v>
      </c>
      <c r="K107">
        <f>(J107/(R.*H107)-G107)</f>
        <v>0.34775603631450691</v>
      </c>
      <c r="L107">
        <f>a.*kc./G.*K107</f>
        <v>0.29828242115632941</v>
      </c>
      <c r="M107">
        <f>a.*h./(L.*Cpw.)*(H107-I107)+a.*lambda.*kc./(L.*Cpw.)*K107</f>
        <v>1.714070745640335</v>
      </c>
      <c r="N107">
        <f>a.*kc./G.*(H107-I107)</f>
        <v>1.9055363190385231</v>
      </c>
    </row>
    <row r="108" spans="5:14" x14ac:dyDescent="0.25">
      <c r="E108">
        <v>106</v>
      </c>
      <c r="F108">
        <f>dz.*E108</f>
        <v>2.4101350736311358</v>
      </c>
      <c r="G108">
        <f>G107+L107*dz.</f>
        <v>1.9478130986398225</v>
      </c>
      <c r="H108">
        <f>H107+M107*dz.</f>
        <v>309.04500204384561</v>
      </c>
      <c r="I108">
        <f>I107+N107*dz.</f>
        <v>306.82776369919782</v>
      </c>
      <c r="J108">
        <f>(10^(AntA.-AntB./(AntC.+(H108-273.15)))*101325/760)</f>
        <v>5892.6734923457225</v>
      </c>
      <c r="K108">
        <f>(J108/(R.*H108)-G108)</f>
        <v>0.34559125849896777</v>
      </c>
      <c r="L108">
        <f>a.*kc./G.*K108</f>
        <v>0.29642561609572499</v>
      </c>
      <c r="M108">
        <f>a.*h./(L.*Cpw.)*(H108-I108)+a.*lambda.*kc./(L.*Cpw.)*K108</f>
        <v>1.7045328122985681</v>
      </c>
      <c r="N108">
        <f>a.*kc./G.*(H108-I108)</f>
        <v>1.9018022770539826</v>
      </c>
    </row>
    <row r="109" spans="5:14" x14ac:dyDescent="0.25">
      <c r="E109">
        <v>107</v>
      </c>
      <c r="F109">
        <f>dz.*E109</f>
        <v>2.4328721969672786</v>
      </c>
      <c r="G109">
        <f>G108+L108*dz.</f>
        <v>1.9545529644329831</v>
      </c>
      <c r="H109">
        <f>H108+M108*dz.</f>
        <v>309.08375821662935</v>
      </c>
      <c r="I109">
        <f>I108+N108*dz.</f>
        <v>306.87100521213216</v>
      </c>
      <c r="J109">
        <f>(10^(AntA.-AntB./(AntC.+(H109-273.15)))*101325/760)</f>
        <v>5905.2318432003967</v>
      </c>
      <c r="K109">
        <f>(J109/(R.*H109)-G109)</f>
        <v>0.34345086732803654</v>
      </c>
      <c r="L109">
        <f>a.*kc./G.*K109</f>
        <v>0.29458972830653474</v>
      </c>
      <c r="M109">
        <f>a.*h./(L.*Cpw.)*(H109-I109)+a.*lambda.*kc./(L.*Cpw.)*K109</f>
        <v>1.6950807001383303</v>
      </c>
      <c r="N109">
        <f>a.*kc./G.*(H109-I109)</f>
        <v>1.8979550451438993</v>
      </c>
    </row>
    <row r="110" spans="5:14" x14ac:dyDescent="0.25">
      <c r="E110">
        <v>108</v>
      </c>
      <c r="F110">
        <f>dz.*E110</f>
        <v>2.4556093203034215</v>
      </c>
      <c r="G110">
        <f>G109+L109*dz.</f>
        <v>1.9612510874190496</v>
      </c>
      <c r="H110">
        <f>H109+M109*dz.</f>
        <v>309.12229947557313</v>
      </c>
      <c r="I110">
        <f>I109+N109*dz.</f>
        <v>306.91415925008005</v>
      </c>
      <c r="J110">
        <f>(10^(AntA.-AntB./(AntC.+(H110-273.15)))*101325/760)</f>
        <v>5917.7435015221454</v>
      </c>
      <c r="K110">
        <f>(J110/(R.*H110)-G110)</f>
        <v>0.34133449850812836</v>
      </c>
      <c r="L110">
        <f>a.*kc./G.*K110</f>
        <v>0.29277444532150826</v>
      </c>
      <c r="M110">
        <f>a.*h./(L.*Cpw.)*(H110-I110)+a.*lambda.*kc./(L.*Cpw.)*K110</f>
        <v>1.6857134322356502</v>
      </c>
      <c r="N110">
        <f>a.*kc./G.*(H110-I110)</f>
        <v>1.8939985045064298</v>
      </c>
    </row>
    <row r="111" spans="5:14" x14ac:dyDescent="0.25">
      <c r="E111">
        <v>109</v>
      </c>
      <c r="F111">
        <f>dz.*E111</f>
        <v>2.4783464436395644</v>
      </c>
      <c r="G111">
        <f>G110+L110*dz.</f>
        <v>1.9679079360919955</v>
      </c>
      <c r="H111">
        <f>H110+M110*dz.</f>
        <v>309.16062774979127</v>
      </c>
      <c r="I111">
        <f>I110+N110*dz.</f>
        <v>306.95722332767548</v>
      </c>
      <c r="J111">
        <f>(10^(AntA.-AntB./(AntC.+(H111-273.15)))*101325/760)</f>
        <v>5930.2087470300276</v>
      </c>
      <c r="K111">
        <f>(J111/(R.*H111)-G111)</f>
        <v>0.33924179415618494</v>
      </c>
      <c r="L111">
        <f>a.*kc./G.*K111</f>
        <v>0.29097946017192616</v>
      </c>
      <c r="M111">
        <f>a.*h./(L.*Cpw.)*(H111-I111)+a.*lambda.*kc./(L.*Cpw.)*K111</f>
        <v>1.6764300451737866</v>
      </c>
      <c r="N111">
        <f>a.*kc./G.*(H111-I111)</f>
        <v>1.8899364415945445</v>
      </c>
    </row>
    <row r="112" spans="5:14" x14ac:dyDescent="0.25">
      <c r="E112">
        <v>110</v>
      </c>
      <c r="F112">
        <f>dz.*E112</f>
        <v>2.5010835669757072</v>
      </c>
      <c r="G112">
        <f>G111+L111*dz.</f>
        <v>1.9745239719662089</v>
      </c>
      <c r="H112">
        <f>H111+M111*dz.</f>
        <v>309.19874494649281</v>
      </c>
      <c r="I112">
        <f>I111+N111*dz.</f>
        <v>307.00019504564551</v>
      </c>
      <c r="J112">
        <f>(10^(AntA.-AntB./(AntC.+(H112-273.15)))*101325/760)</f>
        <v>5942.627857865823</v>
      </c>
      <c r="K112">
        <f>(J112/(R.*H112)-G112)</f>
        <v>0.33717240267703597</v>
      </c>
      <c r="L112">
        <f>a.*kc./G.*K112</f>
        <v>0.28920447128240884</v>
      </c>
      <c r="M112">
        <f>a.*h./(L.*Cpw.)*(H112-I112)+a.*lambda.*kc./(L.*Cpw.)*K112</f>
        <v>1.6672295888264295</v>
      </c>
      <c r="N112">
        <f>a.*kc./G.*(H112-I112)</f>
        <v>1.8857725502272842</v>
      </c>
    </row>
    <row r="113" spans="5:14" x14ac:dyDescent="0.25">
      <c r="E113">
        <v>111</v>
      </c>
      <c r="F113">
        <f>dz.*E113</f>
        <v>2.5238206903118501</v>
      </c>
      <c r="G113">
        <f>G112+L112*dz.</f>
        <v>1.9810996496991209</v>
      </c>
      <c r="H113">
        <f>H112+M112*dz.</f>
        <v>309.23665295128365</v>
      </c>
      <c r="I113">
        <f>I112+N112*dz.</f>
        <v>307.04307208870392</v>
      </c>
      <c r="J113">
        <f>(10^(AntA.-AntB./(AntC.+(H113-273.15)))*101325/760)</f>
        <v>5955.001110596063</v>
      </c>
      <c r="K113">
        <f>(J113/(R.*H113)-G113)</f>
        <v>0.33512597864318017</v>
      </c>
      <c r="L113">
        <f>a.*kc./G.*K113</f>
        <v>0.28744918236780043</v>
      </c>
      <c r="M113">
        <f>a.*h./(L.*Cpw.)*(H113-I113)+a.*lambda.*kc./(L.*Cpw.)*K113</f>
        <v>1.6581111261446604</v>
      </c>
      <c r="N113">
        <f>a.*kc./G.*(H113-I113)</f>
        <v>1.8815104336556248</v>
      </c>
    </row>
    <row r="114" spans="5:14" x14ac:dyDescent="0.25">
      <c r="E114">
        <v>112</v>
      </c>
      <c r="F114">
        <f>dz.*E114</f>
        <v>2.5465578136479925</v>
      </c>
      <c r="G114">
        <f>G113+L113*dz.</f>
        <v>1.987635417211491</v>
      </c>
      <c r="H114">
        <f>H113+M113*dz.</f>
        <v>309.27435362846381</v>
      </c>
      <c r="I114">
        <f>I113+N113*dz.</f>
        <v>307.08585222349217</v>
      </c>
      <c r="J114">
        <f>(10^(AntA.-AntB./(AntC.+(H114-273.15)))*101325/760)</f>
        <v>5967.3287802144232</v>
      </c>
      <c r="K114">
        <f>(J114/(R.*H114)-G114)</f>
        <v>0.33310218267701885</v>
      </c>
      <c r="L114">
        <f>a.*kc./G.*K114</f>
        <v>0.28571330233215653</v>
      </c>
      <c r="M114">
        <f>a.*h./(L.*Cpw.)*(H114-I114)+a.*lambda.*kc./(L.*Cpw.)*K114</f>
        <v>1.6490737329478864</v>
      </c>
      <c r="N114">
        <f>a.*kc./G.*(H114-I114)</f>
        <v>1.8771536065835344</v>
      </c>
    </row>
    <row r="115" spans="5:14" x14ac:dyDescent="0.25">
      <c r="E115">
        <v>113</v>
      </c>
      <c r="F115">
        <f>dz.*E115</f>
        <v>2.5692949369841354</v>
      </c>
      <c r="G115">
        <f>G114+L114*dz.</f>
        <v>1.9941317158053939</v>
      </c>
      <c r="H115">
        <f>H114+M114*dz.</f>
        <v>309.31184882132027</v>
      </c>
      <c r="I115">
        <f>I114+N114*dz.</f>
        <v>307.12853329656593</v>
      </c>
      <c r="J115">
        <f>(10^(AntA.-AntB./(AntC.+(H115-273.15)))*101325/760)</f>
        <v>5979.6111401443759</v>
      </c>
      <c r="K115">
        <f>(J115/(R.*H115)-G115)</f>
        <v>0.33110068133545489</v>
      </c>
      <c r="L115">
        <f>a.*kc./G.*K115</f>
        <v>0.28399654516976064</v>
      </c>
      <c r="M115">
        <f>a.*h./(L.*Cpw.)*(H115-I115)+a.*lambda.*kc./(L.*Cpw.)*K115</f>
        <v>1.6401164977186502</v>
      </c>
      <c r="N115">
        <f>a.*kc./G.*(H115-I115)</f>
        <v>1.8727054971461257</v>
      </c>
    </row>
    <row r="116" spans="5:14" x14ac:dyDescent="0.25">
      <c r="E116">
        <v>114</v>
      </c>
      <c r="F116">
        <f>dz.*E116</f>
        <v>2.5920320603202782</v>
      </c>
      <c r="G116">
        <f>G115+L115*dz.</f>
        <v>2.0005889802799572</v>
      </c>
      <c r="H116">
        <f>H115+M115*dz.</f>
        <v>309.34914035241457</v>
      </c>
      <c r="I116">
        <f>I115+N115*dz.</f>
        <v>307.17111323242682</v>
      </c>
      <c r="J116">
        <f>(10^(AntA.-AntB./(AntC.+(H116-273.15)))*101325/760)</f>
        <v>5991.8484622419446</v>
      </c>
      <c r="K116">
        <f>(J116/(R.*H116)-G116)</f>
        <v>0.32912114699675721</v>
      </c>
      <c r="L116">
        <f>a.*kc./G.*K116</f>
        <v>0.28229862986808391</v>
      </c>
      <c r="M116">
        <f>a.*h./(L.*Cpw.)*(H116-I116)+a.*lambda.*kc./(L.*Cpw.)*K116</f>
        <v>1.6312385214008791</v>
      </c>
      <c r="N116">
        <f>a.*kc./G.*(H116-I116)</f>
        <v>1.8681694488447065</v>
      </c>
    </row>
    <row r="117" spans="5:14" x14ac:dyDescent="0.25">
      <c r="E117">
        <v>115</v>
      </c>
      <c r="F117">
        <f>dz.*E117</f>
        <v>2.6147691836564211</v>
      </c>
      <c r="G117">
        <f>G116+L116*dz.</f>
        <v>2.0070076390448919</v>
      </c>
      <c r="H117">
        <f>H116+M116*dz.</f>
        <v>309.38623002386635</v>
      </c>
      <c r="I117">
        <f>I116+N116*dz.</f>
        <v>307.21359003159802</v>
      </c>
      <c r="J117">
        <f>(10^(AntA.-AntB./(AntC.+(H117-273.15)))*101325/760)</f>
        <v>6004.0410167988111</v>
      </c>
      <c r="K117">
        <f>(J117/(R.*H117)-G117)</f>
        <v>0.32716325774973187</v>
      </c>
      <c r="L117">
        <f>a.*kc./G.*K117</f>
        <v>0.28061928031272354</v>
      </c>
      <c r="M117">
        <f>a.*h./(L.*Cpw.)*(H117-I117)+a.*lambda.*kc./(L.*Cpw.)*K117</f>
        <v>1.622438917201976</v>
      </c>
      <c r="N117">
        <f>a.*kc./G.*(H117-I117)</f>
        <v>1.8635487224404852</v>
      </c>
    </row>
    <row r="118" spans="5:14" x14ac:dyDescent="0.25">
      <c r="E118">
        <v>116</v>
      </c>
      <c r="F118">
        <f>dz.*E118</f>
        <v>2.6375063069925639</v>
      </c>
      <c r="G118">
        <f>G117+L117*dz.</f>
        <v>2.0133881142318617</v>
      </c>
      <c r="H118">
        <f>H117+M117*dz.</f>
        <v>309.42311961763215</v>
      </c>
      <c r="I118">
        <f>I117+N117*dz.</f>
        <v>307.25596176874308</v>
      </c>
      <c r="J118">
        <f>(10^(AntA.-AntB./(AntC.+(H118-273.15)))*101325/760)</f>
        <v>6016.1890725456624</v>
      </c>
      <c r="K118">
        <f>(J118/(R.*H118)-G118)</f>
        <v>0.32522669728512543</v>
      </c>
      <c r="L118">
        <f>a.*kc./G.*K118</f>
        <v>0.27895822519425528</v>
      </c>
      <c r="M118">
        <f>a.*h./(L.*Cpw.)*(H118-I118)+a.*lambda.*kc./(L.*Cpw.)*K118</f>
        <v>1.6137168103985129</v>
      </c>
      <c r="N118">
        <f>a.*kc./G.*(H118-I118)</f>
        <v>1.8588464978073198</v>
      </c>
    </row>
    <row r="119" spans="5:14" x14ac:dyDescent="0.25">
      <c r="E119">
        <v>117</v>
      </c>
      <c r="F119">
        <f>dz.*E119</f>
        <v>2.6602434303287068</v>
      </c>
      <c r="G119">
        <f>G118+L118*dz.</f>
        <v>2.0197308218037349</v>
      </c>
      <c r="H119">
        <f>H118+M118*dz.</f>
        <v>309.45981089577981</v>
      </c>
      <c r="I119">
        <f>I118+N118*dz.</f>
        <v>307.29822659082669</v>
      </c>
      <c r="J119">
        <f>(10^(AntA.-AntB./(AntC.+(H119-273.15)))*101325/760)</f>
        <v>6028.2928966555955</v>
      </c>
      <c r="K119">
        <f>(J119/(R.*H119)-G119)</f>
        <v>0.32331115478914008</v>
      </c>
      <c r="L119">
        <f>a.*kc./G.*K119</f>
        <v>0.27731519791689813</v>
      </c>
      <c r="M119">
        <f>a.*h./(L.*Cpw.)*(H119-I119)+a.*lambda.*kc./(L.*Cpw.)*K119</f>
        <v>1.6050713381451649</v>
      </c>
      <c r="N119">
        <f>a.*kc./G.*(H119-I119)</f>
        <v>1.8540658757446347</v>
      </c>
    </row>
    <row r="120" spans="5:14" x14ac:dyDescent="0.25">
      <c r="E120">
        <v>118</v>
      </c>
      <c r="F120">
        <f>dz.*E120</f>
        <v>2.6829805536648497</v>
      </c>
      <c r="G120">
        <f>G119+L119*dz.</f>
        <v>2.0260361716617581</v>
      </c>
      <c r="H120">
        <f>H119+M119*dz.</f>
        <v>309.49630560075855</v>
      </c>
      <c r="I120">
        <f>I119+N119*dz.</f>
        <v>307.34038271531682</v>
      </c>
      <c r="J120">
        <f>(10^(AntA.-AntB./(AntC.+(H120-273.15)))*101325/760)</f>
        <v>6040.3527547479016</v>
      </c>
      <c r="K120">
        <f>(J120/(R.*H120)-G120)</f>
        <v>0.32141632483914062</v>
      </c>
      <c r="L120">
        <f>a.*kc./G.*K120</f>
        <v>0.27568993650905815</v>
      </c>
      <c r="M120">
        <f>a.*h./(L.*Cpw.)*(H120-I120)+a.*lambda.*kc./(L.*Cpw.)*K120</f>
        <v>1.5965016492873283</v>
      </c>
      <c r="N120">
        <f>a.*kc./G.*(H120-I120)</f>
        <v>1.8492098797511842</v>
      </c>
    </row>
    <row r="121" spans="5:14" x14ac:dyDescent="0.25">
      <c r="E121">
        <v>119</v>
      </c>
      <c r="F121">
        <f>dz.*E121</f>
        <v>2.7057176770009921</v>
      </c>
      <c r="G121">
        <f>G120+L120*dz.</f>
        <v>2.0323045677506979</v>
      </c>
      <c r="H121">
        <f>H120+M120*dz.</f>
        <v>309.53260545566474</v>
      </c>
      <c r="I121">
        <f>I120+N120*dz.</f>
        <v>307.38242842842715</v>
      </c>
      <c r="J121">
        <f>(10^(AntA.-AntB./(AntC.+(H121-273.15)))*101325/760)</f>
        <v>6052.3689108919471</v>
      </c>
      <c r="K121">
        <f>(J121/(R.*H121)-G121)</f>
        <v>0.31954190730141097</v>
      </c>
      <c r="L121">
        <f>a.*kc./G.*K121</f>
        <v>0.27408218353563102</v>
      </c>
      <c r="M121">
        <f>a.*h./(L.*Cpw.)*(H121-I121)+a.*lambda.*kc./(L.*Cpw.)*K121</f>
        <v>1.58800690417694</v>
      </c>
      <c r="N121">
        <f>a.*kc./G.*(H121-I121)</f>
        <v>1.8442814577605426</v>
      </c>
    </row>
    <row r="122" spans="5:14" x14ac:dyDescent="0.25">
      <c r="E122">
        <v>120</v>
      </c>
      <c r="F122">
        <f>dz.*E122</f>
        <v>2.7284548003371349</v>
      </c>
      <c r="G122">
        <f>G121+L121*dz.</f>
        <v>2.038536408161987</v>
      </c>
      <c r="H122">
        <f>H121+M121*dz.</f>
        <v>309.56871216450367</v>
      </c>
      <c r="I122">
        <f>I121+N121*dz.</f>
        <v>307.42436208339882</v>
      </c>
      <c r="J122">
        <f>(10^(AntA.-AntB./(AntC.+(H122-273.15)))*101325/760)</f>
        <v>6064.341627611263</v>
      </c>
      <c r="K122">
        <f>(J122/(R.*H122)-G122)</f>
        <v>0.3176876072309569</v>
      </c>
      <c r="L122">
        <f>a.*kc./G.*K122</f>
        <v>0.27249168601205914</v>
      </c>
      <c r="M122">
        <f>a.*h./(L.*Cpw.)*(H122-I122)+a.*lambda.*kc./(L.*Cpw.)*K122</f>
        <v>1.5795862744916429</v>
      </c>
      <c r="N122">
        <f>a.*kc./G.*(H122-I122)</f>
        <v>1.8392834838393939</v>
      </c>
    </row>
    <row r="123" spans="5:14" x14ac:dyDescent="0.25">
      <c r="E123">
        <v>121</v>
      </c>
      <c r="F123">
        <f>dz.*E123</f>
        <v>2.7511919236732778</v>
      </c>
      <c r="G123">
        <f>G122+L122*dz.</f>
        <v>2.0447320852349167</v>
      </c>
      <c r="H123">
        <f>H122+M122*dz.</f>
        <v>309.60462741244686</v>
      </c>
      <c r="I123">
        <f>I122+N122*dz.</f>
        <v>307.46618209882098</v>
      </c>
      <c r="J123">
        <f>(10^(AntA.-AntB./(AntC.+(H123-273.15)))*101325/760)</f>
        <v>6076.2711658878143</v>
      </c>
      <c r="K123">
        <f>(J123/(R.*H123)-G123)</f>
        <v>0.31585313477330601</v>
      </c>
      <c r="L123">
        <f>a.*kc./G.*K123</f>
        <v>0.2709181953201022</v>
      </c>
      <c r="M123">
        <f>a.*h./(L.*Cpw.)*(H123-I123)+a.*lambda.*kc./(L.*Cpw.)*K123</f>
        <v>1.5712389430571128</v>
      </c>
      <c r="N123">
        <f>a.*kc./G.*(H123-I123)</f>
        <v>1.8342187598488131</v>
      </c>
    </row>
    <row r="124" spans="5:14" x14ac:dyDescent="0.25">
      <c r="E124">
        <v>122</v>
      </c>
      <c r="F124">
        <f>dz.*E124</f>
        <v>2.7739290470094207</v>
      </c>
      <c r="G124">
        <f>G123+L123*dz.</f>
        <v>2.0508919856559151</v>
      </c>
      <c r="H124">
        <f>H123+M123*dz.</f>
        <v>309.64035286608572</v>
      </c>
      <c r="I124">
        <f>I123+N123*dz.</f>
        <v>307.50788695698913</v>
      </c>
      <c r="J124">
        <f>(10^(AntA.-AntB./(AntC.+(H124-273.15)))*101325/760)</f>
        <v>6088.1577851664542</v>
      </c>
      <c r="K124">
        <f>(J124/(R.*H124)-G124)</f>
        <v>0.31403820506827129</v>
      </c>
      <c r="L124">
        <f>a.*kc./G.*K124</f>
        <v>0.26936146712529185</v>
      </c>
      <c r="M124">
        <f>a.*h./(L.*Cpw.)*(H124-I124)+a.*lambda.*kc./(L.*Cpw.)*K124</f>
        <v>1.5629641036726054</v>
      </c>
      <c r="N124">
        <f>a.*kc./G.*(H124-I124)</f>
        <v>1.8290900170699094</v>
      </c>
    </row>
    <row r="125" spans="5:14" x14ac:dyDescent="0.25">
      <c r="E125">
        <v>123</v>
      </c>
      <c r="F125">
        <f>dz.*E125</f>
        <v>2.7966661703455635</v>
      </c>
      <c r="G125">
        <f>G124+L124*dz.</f>
        <v>2.0570164905559474</v>
      </c>
      <c r="H125">
        <f>H124+M124*dz.</f>
        <v>309.6758901736809</v>
      </c>
      <c r="I125">
        <f>I124+N124*dz.</f>
        <v>307.54947520230013</v>
      </c>
      <c r="J125">
        <f>(10^(AntA.-AntB./(AntC.+(H125-273.15)))*101325/760)</f>
        <v>6100.0017433595276</v>
      </c>
      <c r="K125">
        <f>(J125/(R.*H125)-G125)</f>
        <v>0.31224253815562175</v>
      </c>
      <c r="L125">
        <f>a.*kc./G.*K125</f>
        <v>0.26782126129602185</v>
      </c>
      <c r="M125">
        <f>a.*h./(L.*Cpw.)*(H125-I125)+a.*lambda.*kc./(L.*Cpw.)*K125</f>
        <v>1.5547609609395527</v>
      </c>
      <c r="N125">
        <f>a.*kc./G.*(H125-I125)</f>
        <v>1.8238999177943624</v>
      </c>
    </row>
    <row r="126" spans="5:14" x14ac:dyDescent="0.25">
      <c r="E126">
        <v>124</v>
      </c>
      <c r="F126">
        <f>dz.*E126</f>
        <v>2.8194032936817064</v>
      </c>
      <c r="G126">
        <f>G125+L125*dz.</f>
        <v>2.0631059756060766</v>
      </c>
      <c r="H126">
        <f>H125+M125*dz.</f>
        <v>309.71124096540802</v>
      </c>
      <c r="I126">
        <f>I125+N125*dz.</f>
        <v>307.59094543968382</v>
      </c>
      <c r="J126">
        <f>(10^(AntA.-AntB./(AntC.+(H126-273.15)))*101325/760)</f>
        <v>6111.8032968516864</v>
      </c>
      <c r="K126">
        <f>(J126/(R.*H126)-G126)</f>
        <v>0.31046585888265144</v>
      </c>
      <c r="L126">
        <f>a.*kc./G.*K126</f>
        <v>0.26629734182426734</v>
      </c>
      <c r="M126">
        <f>a.*h./(L.*Cpw.)*(H126-I126)+a.*lambda.*kc./(L.*Cpw.)*K126</f>
        <v>1.54662873009327</v>
      </c>
      <c r="N126">
        <f>a.*kc./G.*(H126-I126)</f>
        <v>1.8186510568804883</v>
      </c>
    </row>
    <row r="127" spans="5:14" x14ac:dyDescent="0.25">
      <c r="E127">
        <v>125</v>
      </c>
      <c r="F127">
        <f>dz.*E127</f>
        <v>2.8421404170178488</v>
      </c>
      <c r="G127">
        <f>G126+L126*dz.</f>
        <v>2.0691608111112219</v>
      </c>
      <c r="H127">
        <f>H126+M126*dz.</f>
        <v>309.74640685359935</v>
      </c>
      <c r="I127">
        <f>I126+N126*dz.</f>
        <v>307.63229633306952</v>
      </c>
      <c r="J127">
        <f>(10^(AntA.-AntB./(AntC.+(H127-273.15)))*101325/760)</f>
        <v>6123.5627005047418</v>
      </c>
      <c r="K127">
        <f>(J127/(R.*H127)-G127)</f>
        <v>0.30870789681354482</v>
      </c>
      <c r="L127">
        <f>a.*kc./G.*K127</f>
        <v>0.26478947674784381</v>
      </c>
      <c r="M127">
        <f>a.*h./(L.*Cpw.)*(H127-I127)+a.*lambda.*kc./(L.*Cpw.)*K127</f>
        <v>1.5385666368374773</v>
      </c>
      <c r="N127">
        <f>a.*kc./G.*(H127-I127)</f>
        <v>1.8133459632758095</v>
      </c>
    </row>
    <row r="128" spans="5:14" x14ac:dyDescent="0.25">
      <c r="E128">
        <v>126</v>
      </c>
      <c r="F128">
        <f>dz.*E128</f>
        <v>2.8648775403539917</v>
      </c>
      <c r="G128">
        <f>G127+L127*dz.</f>
        <v>2.0751813621021502</v>
      </c>
      <c r="H128">
        <f>H127+M127*dz.</f>
        <v>309.781389432982</v>
      </c>
      <c r="I128">
        <f>I127+N127*dz.</f>
        <v>307.67352660388764</v>
      </c>
      <c r="J128">
        <f>(10^(AntA.-AntB./(AntC.+(H128-273.15)))*101325/760)</f>
        <v>6135.2802076628213</v>
      </c>
      <c r="K128">
        <f>(J128/(R.*H128)-G128)</f>
        <v>0.30696838614059585</v>
      </c>
      <c r="L128">
        <f>a.*kc./G.*K128</f>
        <v>0.26329743807425704</v>
      </c>
      <c r="M128">
        <f>a.*h./(L.*Cpw.)*(H128-I128)+a.*lambda.*kc./(L.*Cpw.)*K128</f>
        <v>1.5305739171819481</v>
      </c>
      <c r="N128">
        <f>a.*kc./G.*(H128-I128)</f>
        <v>1.8079871015066178</v>
      </c>
    </row>
    <row r="129" spans="5:14" x14ac:dyDescent="0.25">
      <c r="E129">
        <v>127</v>
      </c>
      <c r="F129">
        <f>dz.*E129</f>
        <v>2.8876146636901345</v>
      </c>
      <c r="G129">
        <f>G128+L128*dz.</f>
        <v>2.0811679884257348</v>
      </c>
      <c r="H129">
        <f>H128+M128*dz.</f>
        <v>309.81619028091205</v>
      </c>
      <c r="I129">
        <f>I128+N128*dz.</f>
        <v>307.71463502960472</v>
      </c>
      <c r="J129">
        <f>(10^(AntA.-AntB./(AntC.+(H129-273.15)))*101325/760)</f>
        <v>6146.9560701575574</v>
      </c>
      <c r="K129">
        <f>(J129/(R.*H129)-G129)</f>
        <v>0.30524706559715575</v>
      </c>
      <c r="L129">
        <f>a.*kc./G.*K129</f>
        <v>0.26182100170603512</v>
      </c>
      <c r="M129">
        <f>a.*h./(L.*Cpw.)*(H129-I129)+a.*lambda.*kc./(L.*Cpw.)*K129</f>
        <v>1.5226498172828742</v>
      </c>
      <c r="N129">
        <f>a.*kc./G.*(H129-I129)</f>
        <v>1.8025768731353562</v>
      </c>
    </row>
    <row r="130" spans="5:14" x14ac:dyDescent="0.25">
      <c r="E130">
        <v>128</v>
      </c>
      <c r="F130">
        <f>dz.*E130</f>
        <v>2.9103517870262774</v>
      </c>
      <c r="G130">
        <f>G129+L129*dz.</f>
        <v>2.0871210448335176</v>
      </c>
      <c r="H130">
        <f>H129+M129*dz.</f>
        <v>309.85081095760535</v>
      </c>
      <c r="I130">
        <f>I129+N129*dz.</f>
        <v>307.75562044229207</v>
      </c>
      <c r="J130">
        <f>(10^(AntA.-AntB./(AntC.+(H130-273.15)))*101325/760)</f>
        <v>6158.5905383133895</v>
      </c>
      <c r="K130">
        <f>(J130/(R.*H130)-G130)</f>
        <v>0.30354367837229779</v>
      </c>
      <c r="L130">
        <f>a.*kc./G.*K130</f>
        <v>0.26035994736753365</v>
      </c>
      <c r="M130">
        <f>a.*h./(L.*Cpw.)*(H130-I130)+a.*lambda.*kc./(L.*Cpw.)*K130</f>
        <v>1.514793593285964</v>
      </c>
      <c r="N130">
        <f>a.*kc./G.*(H130-I130)</f>
        <v>1.7971176181862616</v>
      </c>
    </row>
    <row r="131" spans="5:14" x14ac:dyDescent="0.25">
      <c r="E131">
        <v>129</v>
      </c>
      <c r="F131">
        <f>dz.*E131</f>
        <v>2.9330889103624203</v>
      </c>
      <c r="G131">
        <f>G130+L130*dz.</f>
        <v>2.093040881068605</v>
      </c>
      <c r="H131">
        <f>H130+M130*dz.</f>
        <v>309.88525300636468</v>
      </c>
      <c r="I131">
        <f>I130+N130*dz.</f>
        <v>307.79648172722631</v>
      </c>
      <c r="J131">
        <f>(10^(AntA.-AntB./(AntC.+(H131-273.15)))*101325/760)</f>
        <v>6170.1838609531605</v>
      </c>
      <c r="K131">
        <f>(J131/(R.*H131)-G131)</f>
        <v>0.30185797202723519</v>
      </c>
      <c r="L131">
        <f>a.*kc./G.*K131</f>
        <v>0.25891405853324428</v>
      </c>
      <c r="M131">
        <f>a.*h./(L.*Cpw.)*(H131-I131)+a.*lambda.*kc./(L.*Cpw.)*K131</f>
        <v>1.5070045111726107</v>
      </c>
      <c r="N131">
        <f>a.*kc./G.*(H131-I131)</f>
        <v>1.7916116165406317</v>
      </c>
    </row>
    <row r="132" spans="5:14" x14ac:dyDescent="0.25">
      <c r="E132">
        <v>130</v>
      </c>
      <c r="F132">
        <f>dz.*E132</f>
        <v>2.9558260336985631</v>
      </c>
      <c r="G132">
        <f>G131+L131*dz.</f>
        <v>2.0989278419509367</v>
      </c>
      <c r="H132">
        <f>H131+M131*dz.</f>
        <v>309.91951795380334</v>
      </c>
      <c r="I132">
        <f>I131+N131*dz.</f>
        <v>307.83721782152207</v>
      </c>
      <c r="J132">
        <f>(10^(AntA.-AntB./(AntC.+(H132-273.15)))*101325/760)</f>
        <v>6181.7362854036064</v>
      </c>
      <c r="K132">
        <f>(J132/(R.*H132)-G132)</f>
        <v>0.30018969841330767</v>
      </c>
      <c r="L132">
        <f>a.*kc./G.*K132</f>
        <v>0.25748312235744925</v>
      </c>
      <c r="M132">
        <f>a.*h./(L.*Cpw.)*(H132-I132)+a.*lambda.*kc./(L.*Cpw.)*K132</f>
        <v>1.4992818466083122</v>
      </c>
      <c r="N132">
        <f>a.*kc./G.*(H132-I132)</f>
        <v>1.786061089301326</v>
      </c>
    </row>
    <row r="133" spans="5:14" x14ac:dyDescent="0.25">
      <c r="E133">
        <v>131</v>
      </c>
      <c r="F133">
        <f>dz.*E133</f>
        <v>2.978563157034706</v>
      </c>
      <c r="G133">
        <f>G132+L132*dz.</f>
        <v>2.1047822674609531</v>
      </c>
      <c r="H133">
        <f>H132+M132*dz.</f>
        <v>309.95360731006531</v>
      </c>
      <c r="I133">
        <f>I132+N132*dz.</f>
        <v>307.87782771279541</v>
      </c>
      <c r="J133">
        <f>(10^(AntA.-AntB./(AntC.+(H133-273.15)))*101325/760)</f>
        <v>6193.2480575011477</v>
      </c>
      <c r="K133">
        <f>(J133/(R.*H133)-G133)</f>
        <v>0.29853861359166478</v>
      </c>
      <c r="L133">
        <f>a.*kc./G.*K133</f>
        <v>0.25606692960533062</v>
      </c>
      <c r="M133">
        <f>a.*h./(L.*Cpw.)*(H133-I133)+a.*lambda.*kc./(L.*Cpw.)*K133</f>
        <v>1.4916248847940967</v>
      </c>
      <c r="N133">
        <f>a.*kc./G.*(H133-I133)</f>
        <v>1.7804682001281111</v>
      </c>
    </row>
    <row r="134" spans="5:14" x14ac:dyDescent="0.25">
      <c r="E134">
        <v>132</v>
      </c>
      <c r="F134">
        <f>dz.*E134</f>
        <v>3.0013002803708484</v>
      </c>
      <c r="G134">
        <f>G133+L133*dz.</f>
        <v>2.1106044928216967</v>
      </c>
      <c r="H134">
        <f>H133+M133*dz.</f>
        <v>309.98752256904214</v>
      </c>
      <c r="I134">
        <f>I133+N133*dz.</f>
        <v>307.91831043785783</v>
      </c>
      <c r="J134">
        <f>(10^(AntA.-AntB./(AntC.+(H134-273.15)))*101325/760)</f>
        <v>6204.719421597717</v>
      </c>
      <c r="K134">
        <f>(J134/(R.*H134)-G134)</f>
        <v>0.29690447775450535</v>
      </c>
      <c r="L134">
        <f>a.*kc./G.*K134</f>
        <v>0.25466527458541488</v>
      </c>
      <c r="M134">
        <f>a.*h./(L.*Cpw.)*(H134-I134)+a.*lambda.*kc./(L.*Cpw.)*K134</f>
        <v>1.4840329203203619</v>
      </c>
      <c r="N134">
        <f>a.*kc./G.*(H134-I134)</f>
        <v>1.7748350565438007</v>
      </c>
    </row>
    <row r="135" spans="5:14" x14ac:dyDescent="0.25">
      <c r="E135">
        <v>133</v>
      </c>
      <c r="F135">
        <f>dz.*E135</f>
        <v>3.0240374037069913</v>
      </c>
      <c r="G135">
        <f>G134+L134*dz.</f>
        <v>2.116394848579378</v>
      </c>
      <c r="H135">
        <f>H134+M134*dz.</f>
        <v>310.02126520858639</v>
      </c>
      <c r="I135">
        <f>I134+N134*dz.</f>
        <v>307.95866508143979</v>
      </c>
      <c r="J135">
        <f>(10^(AntA.-AntB./(AntC.+(H135-273.15)))*101325/760)</f>
        <v>6216.1506205666801</v>
      </c>
      <c r="K135">
        <f>(J135/(R.*H135)-G135)</f>
        <v>0.29528705514787035</v>
      </c>
      <c r="L135">
        <f>a.*kc./G.*K135</f>
        <v>0.25327795508334949</v>
      </c>
      <c r="M135">
        <f>a.*h./(L.*Cpw.)*(H135-I135)+a.*lambda.*kc./(L.*Cpw.)*K135</f>
        <v>1.4765052570232677</v>
      </c>
      <c r="N135">
        <f>a.*kc./G.*(H135-I135)</f>
        <v>1.7691637112122625</v>
      </c>
    </row>
    <row r="136" spans="5:14" x14ac:dyDescent="0.25">
      <c r="E136">
        <v>134</v>
      </c>
      <c r="F136">
        <f>dz.*E136</f>
        <v>3.0467745270431341</v>
      </c>
      <c r="G136">
        <f>G135+L135*dz.</f>
        <v>2.1221536606824341</v>
      </c>
      <c r="H136">
        <f>H135+M135*dz.</f>
        <v>310.0548366907218</v>
      </c>
      <c r="I136">
        <f>I135+N135*dz.</f>
        <v>307.99889077494345</v>
      </c>
      <c r="J136">
        <f>(10^(AntA.-AntB./(AntC.+(H136-273.15)))*101325/760)</f>
        <v>6227.5418958089267</v>
      </c>
      <c r="K136">
        <f>(J136/(R.*H136)-G136)</f>
        <v>0.29368611399598654</v>
      </c>
      <c r="L136">
        <f>a.*kc./G.*K136</f>
        <v>0.25190477229701008</v>
      </c>
      <c r="M136">
        <f>a.*h./(L.*Cpw.)*(H136-I136)+a.*lambda.*kc./(L.*Cpw.)*K136</f>
        <v>1.469041207843705</v>
      </c>
      <c r="N136">
        <f>a.*kc./G.*(H136-I136)</f>
        <v>1.7634561631885368</v>
      </c>
    </row>
    <row r="137" spans="5:14" x14ac:dyDescent="0.25">
      <c r="E137">
        <v>135</v>
      </c>
      <c r="F137">
        <f>dz.*E137</f>
        <v>3.069511650379277</v>
      </c>
      <c r="G137">
        <f>G136+L136*dz.</f>
        <v>2.1278812505591143</v>
      </c>
      <c r="H137">
        <f>H136+M136*dz.</f>
        <v>310.08823846185044</v>
      </c>
      <c r="I137">
        <f>I136+N136*dz.</f>
        <v>308.03898669522374</v>
      </c>
      <c r="J137">
        <f>(10^(AntA.-AntB./(AntC.+(H137-273.15)))*101325/760)</f>
        <v>6238.8934872590007</v>
      </c>
      <c r="K137">
        <f>(J137/(R.*H137)-G137)</f>
        <v>0.29210142642708092</v>
      </c>
      <c r="L137">
        <f>a.*kc./G.*K137</f>
        <v>0.25054553077286867</v>
      </c>
      <c r="M137">
        <f>a.*h./(L.*Cpw.)*(H137-I137)+a.*lambda.*kc./(L.*Cpw.)*K137</f>
        <v>1.4616400946886268</v>
      </c>
      <c r="N137">
        <f>a.*kc./G.*(H137-I137)</f>
        <v>1.7577143591419446</v>
      </c>
    </row>
    <row r="138" spans="5:14" x14ac:dyDescent="0.25">
      <c r="E138">
        <v>136</v>
      </c>
      <c r="F138">
        <f>dz.*E138</f>
        <v>3.0922487737154198</v>
      </c>
      <c r="G138">
        <f>G137+L137*dz.</f>
        <v>2.1335779351936162</v>
      </c>
      <c r="H138">
        <f>H137+M137*dz.</f>
        <v>310.12147195295643</v>
      </c>
      <c r="I138">
        <f>I137+N137*dz.</f>
        <v>308.07895206339725</v>
      </c>
      <c r="J138">
        <f>(10^(AntA.-AntB./(AntC.+(H138-273.15)))*101325/760)</f>
        <v>6250.2056333912969</v>
      </c>
      <c r="K138">
        <f>(J138/(R.*H138)-G138)</f>
        <v>0.2905327684006509</v>
      </c>
      <c r="L138">
        <f>a.*kc./G.*K138</f>
        <v>0.2492000383436109</v>
      </c>
      <c r="M138">
        <f>a.*h./(L.*Cpw.)*(H138-I138)+a.*lambda.*kc./(L.*Cpw.)*K138</f>
        <v>1.4543012482947377</v>
      </c>
      <c r="N138">
        <f>a.*kc./G.*(H138-I138)</f>
        <v>1.7519401945525728</v>
      </c>
    </row>
    <row r="139" spans="5:14" x14ac:dyDescent="0.25">
      <c r="E139">
        <v>137</v>
      </c>
      <c r="F139">
        <f>dz.*E139</f>
        <v>3.1149858970515627</v>
      </c>
      <c r="G139">
        <f>G138+L138*dz.</f>
        <v>2.1392440272008062</v>
      </c>
      <c r="H139">
        <f>H138+M138*dz.</f>
        <v>310.1545385798068</v>
      </c>
      <c r="I139">
        <f>I138+N138*dz.</f>
        <v>308.11878614367834</v>
      </c>
      <c r="J139">
        <f>(10^(AntA.-AntB./(AntC.+(H139-273.15)))*101325/760)</f>
        <v>6261.4785712265066</v>
      </c>
      <c r="K139">
        <f>(J139/(R.*H139)-G139)</f>
        <v>0.2889799196362226</v>
      </c>
      <c r="L139">
        <f>a.*kc./G.*K139</f>
        <v>0.24786810606702955</v>
      </c>
      <c r="M139">
        <f>a.*h./(L.*Cpw.)*(H139-I139)+a.*lambda.*kc./(L.*Cpw.)*K139</f>
        <v>1.4470240080947685</v>
      </c>
      <c r="N139">
        <f>a.*kc./G.*(H139-I139)</f>
        <v>1.7461355148818229</v>
      </c>
    </row>
    <row r="140" spans="5:14" x14ac:dyDescent="0.25">
      <c r="E140">
        <v>138</v>
      </c>
      <c r="F140">
        <f>dz.*E140</f>
        <v>3.1377230203877051</v>
      </c>
      <c r="G140">
        <f>G139+L139*dz.</f>
        <v>2.1448798348995486</v>
      </c>
      <c r="H140">
        <f>H139+M139*dz.</f>
        <v>310.18743974314918</v>
      </c>
      <c r="I140">
        <f>I139+N139*dz.</f>
        <v>308.15848824224184</v>
      </c>
      <c r="J140">
        <f>(10^(AntA.-AntB./(AntC.+(H140-273.15)))*101325/760)</f>
        <v>6272.7125363378909</v>
      </c>
      <c r="K140">
        <f>(J140/(R.*H140)-G140)</f>
        <v>0.28744266354342285</v>
      </c>
      <c r="L140">
        <f>a.*kc./G.*K140</f>
        <v>0.24654954816604482</v>
      </c>
      <c r="M140">
        <f>a.*h./(L.*Cpw.)*(H140-I140)+a.*lambda.*kc./(L.*Cpw.)*K140</f>
        <v>1.4398077220856704</v>
      </c>
      <c r="N140">
        <f>a.*kc./G.*(H140-I140)</f>
        <v>1.7403021167174588</v>
      </c>
    </row>
    <row r="141" spans="5:14" x14ac:dyDescent="0.25">
      <c r="E141">
        <v>139</v>
      </c>
      <c r="F141">
        <f>dz.*E141</f>
        <v>3.160460143723848</v>
      </c>
      <c r="G141">
        <f>G140+L140*dz.</f>
        <v>2.1504856623846704</v>
      </c>
      <c r="H141">
        <f>H140+M140*dz.</f>
        <v>310.22017682890657</v>
      </c>
      <c r="I141">
        <f>I140+N140*dz.</f>
        <v>308.1980577061118</v>
      </c>
      <c r="J141">
        <f>(10^(AntA.-AntB./(AntC.+(H141-273.15)))*101325/760)</f>
        <v>6283.9077628579016</v>
      </c>
      <c r="K141">
        <f>(J141/(R.*H141)-G141)</f>
        <v>0.28592078715352276</v>
      </c>
      <c r="L141">
        <f>a.*kc./G.*K141</f>
        <v>0.24524418196998687</v>
      </c>
      <c r="M141">
        <f>a.*h./(L.*Cpw.)*(H141-I141)+a.*lambda.*kc./(L.*Cpw.)*K141</f>
        <v>1.4326517466994915</v>
      </c>
      <c r="N141">
        <f>a.*kc./G.*(H141-I141)</f>
        <v>1.7344417488938859</v>
      </c>
    </row>
    <row r="142" spans="5:14" x14ac:dyDescent="0.25">
      <c r="E142">
        <v>140</v>
      </c>
      <c r="F142">
        <f>dz.*E142</f>
        <v>3.1831972670599908</v>
      </c>
      <c r="G142">
        <f>G141+L141*dz.</f>
        <v>2.1560618095975936</v>
      </c>
      <c r="H142">
        <f>H141+M141*dz.</f>
        <v>310.25275120836903</v>
      </c>
      <c r="I142">
        <f>I141+N141*dz.</f>
        <v>308.23749392207577</v>
      </c>
      <c r="J142">
        <f>(10^(AntA.-AntB./(AntC.+(H142-273.15)))*101325/760)</f>
        <v>6295.0644834846862</v>
      </c>
      <c r="K142">
        <f>(J142/(R.*H142)-G142)</f>
        <v>0.28441408105226085</v>
      </c>
      <c r="L142">
        <f>a.*kc./G.*K142</f>
        <v>0.243951827856976</v>
      </c>
      <c r="M142">
        <f>a.*h./(L.*Cpw.)*(H142-I142)+a.*lambda.*kc./(L.*Cpw.)*K142</f>
        <v>1.4255554466761453</v>
      </c>
      <c r="N142">
        <f>a.*kc./G.*(H142-I142)</f>
        <v>1.7285561135877618</v>
      </c>
    </row>
    <row r="143" spans="5:14" x14ac:dyDescent="0.25">
      <c r="E143">
        <v>141</v>
      </c>
      <c r="F143">
        <f>dz.*E143</f>
        <v>3.2059343903961337</v>
      </c>
      <c r="G143">
        <f>G142+L142*dz.</f>
        <v>2.1616085723956551</v>
      </c>
      <c r="H143">
        <f>H142+M142*dz.</f>
        <v>310.28516423838261</v>
      </c>
      <c r="I143">
        <f>I142+N142*dz.</f>
        <v>308.27679631562387</v>
      </c>
      <c r="J143">
        <f>(10^(AntA.-AntB./(AntC.+(H143-273.15)))*101325/760)</f>
        <v>6306.1829294886957</v>
      </c>
      <c r="K143">
        <f>(J143/(R.*H143)-G143)</f>
        <v>0.28292233931399169</v>
      </c>
      <c r="L143">
        <f>a.*kc./G.*K143</f>
        <v>0.24267230919743946</v>
      </c>
      <c r="M143">
        <f>a.*h./(L.*Cpw.)*(H143-I143)+a.*lambda.*kc./(L.*Cpw.)*K143</f>
        <v>1.4185181949384289</v>
      </c>
      <c r="N143">
        <f>a.*kc./G.*(H143-I143)</f>
        <v>1.7226468673901023</v>
      </c>
    </row>
    <row r="144" spans="5:14" x14ac:dyDescent="0.25">
      <c r="E144">
        <v>142</v>
      </c>
      <c r="F144">
        <f>dz.*E144</f>
        <v>3.2286715137322766</v>
      </c>
      <c r="G144">
        <f>G143+L143*dz.</f>
        <v>2.1671262426201436</v>
      </c>
      <c r="H144">
        <f>H143+M143*dz.</f>
        <v>310.31741726153547</v>
      </c>
      <c r="I144">
        <f>I143+N143*dz.</f>
        <v>308.31596434991235</v>
      </c>
      <c r="J144">
        <f>(10^(AntA.-AntB./(AntC.+(H144-273.15)))*101325/760)</f>
        <v>6317.2633307195019</v>
      </c>
      <c r="K144">
        <f>(J144/(R.*H144)-G144)</f>
        <v>0.28144535943718596</v>
      </c>
      <c r="L144">
        <f>a.*kc./G.*K144</f>
        <v>0.24140545229878779</v>
      </c>
      <c r="M144">
        <f>a.*h./(L.*Cpw.)*(H144-I144)+a.*lambda.*kc./(L.*Cpw.)*K144</f>
        <v>1.4115393724693956</v>
      </c>
      <c r="N144">
        <f>a.*kc./G.*(H144-I144)</f>
        <v>1.7167156223548912</v>
      </c>
    </row>
    <row r="145" spans="5:14" x14ac:dyDescent="0.25">
      <c r="E145">
        <v>143</v>
      </c>
      <c r="F145">
        <f>dz.*E145</f>
        <v>3.2514086370684194</v>
      </c>
      <c r="G145">
        <f>G144+L144*dz.</f>
        <v>2.1726151081630785</v>
      </c>
      <c r="H145">
        <f>H144+M144*dz.</f>
        <v>310.34951160634114</v>
      </c>
      <c r="I145">
        <f>I144+N144*dz.</f>
        <v>308.3549975247509</v>
      </c>
      <c r="J145">
        <f>(10^(AntA.-AntB./(AntC.+(H145-273.15)))*101325/760)</f>
        <v>6328.3059156125219</v>
      </c>
      <c r="K145">
        <f>(J145/(R.*H145)-G145)</f>
        <v>0.27998294228113352</v>
      </c>
      <c r="L145">
        <f>a.*kc./G.*K145</f>
        <v>0.24015108635112278</v>
      </c>
      <c r="M145">
        <f>a.*h./(L.*Cpw.)*(H145-I145)+a.*lambda.*kc./(L.*Cpw.)*K145</f>
        <v>1.4046183681915627</v>
      </c>
      <c r="N145">
        <f>a.*kc./G.*(H145-I145)</f>
        <v>1.7107639470248683</v>
      </c>
    </row>
    <row r="146" spans="5:14" x14ac:dyDescent="0.25">
      <c r="E146">
        <v>144</v>
      </c>
      <c r="F146">
        <f>dz.*E146</f>
        <v>3.2741457604045623</v>
      </c>
      <c r="G146">
        <f>G145+L145*dz.</f>
        <v>2.1780754530327524</v>
      </c>
      <c r="H146">
        <f>H145+M145*dz.</f>
        <v>310.3814485874189</v>
      </c>
      <c r="I146">
        <f>I145+N145*dz.</f>
        <v>308.39389537561345</v>
      </c>
      <c r="J146">
        <f>(10^(AntA.-AntB./(AntC.+(H146-273.15)))*101325/760)</f>
        <v>6339.3109111957965</v>
      </c>
      <c r="K146">
        <f>(J146/(R.*H146)-G146)</f>
        <v>0.2785348920038917</v>
      </c>
      <c r="L146">
        <f>a.*kc./G.*K146</f>
        <v>0.23890904337401353</v>
      </c>
      <c r="M146">
        <f>a.*h./(L.*Cpw.)*(H146-I146)+a.*lambda.*kc./(L.*Cpw.)*K146</f>
        <v>1.3977545788481598</v>
      </c>
      <c r="N146">
        <f>a.*kc./G.*(H146-I146)</f>
        <v>1.7047933674347455</v>
      </c>
    </row>
    <row r="147" spans="5:14" x14ac:dyDescent="0.25">
      <c r="E147">
        <v>145</v>
      </c>
      <c r="F147">
        <f>dz.*E147</f>
        <v>3.2968828837407047</v>
      </c>
      <c r="G147">
        <f>G146+L146*dz.</f>
        <v>2.1835075574180673</v>
      </c>
      <c r="H147">
        <f>H146+M146*dz.</f>
        <v>310.41322950567184</v>
      </c>
      <c r="I147">
        <f>I146+N146*dz.</f>
        <v>308.43265747267145</v>
      </c>
      <c r="J147">
        <f>(10^(AntA.-AntB./(AntC.+(H147-273.15)))*101325/760)</f>
        <v>6350.2785430970089</v>
      </c>
      <c r="K147">
        <f>(J147/(R.*H147)-G147)</f>
        <v>0.27710101600150683</v>
      </c>
      <c r="L147">
        <f>a.*kc./G.*K147</f>
        <v>0.23767915816436469</v>
      </c>
      <c r="M147">
        <f>a.*h./(L.*Cpw.)*(H147-I147)+a.*lambda.*kc./(L.*Cpw.)*K147</f>
        <v>1.3909474088867155</v>
      </c>
      <c r="N147">
        <f>a.*kc./G.*(H147-I147)</f>
        <v>1.6988053680931146</v>
      </c>
    </row>
    <row r="148" spans="5:14" x14ac:dyDescent="0.25">
      <c r="E148">
        <v>146</v>
      </c>
      <c r="F148">
        <f>dz.*E148</f>
        <v>3.3196200070768476</v>
      </c>
      <c r="G148">
        <f>G147+L147*dz.</f>
        <v>2.1889116977516809</v>
      </c>
      <c r="H148">
        <f>H147+M147*dz.</f>
        <v>310.44485564846178</v>
      </c>
      <c r="I148">
        <f>I147+N147*dz.</f>
        <v>308.4712834198499</v>
      </c>
      <c r="J148">
        <f>(10^(AntA.-AntB./(AntC.+(H148-273.15)))*101325/760)</f>
        <v>6361.2090355503124</v>
      </c>
      <c r="K148">
        <f>(J148/(R.*H148)-G148)</f>
        <v>0.2756811248483455</v>
      </c>
      <c r="L148">
        <f>a.*kc./G.*K148</f>
        <v>0.2364612682452365</v>
      </c>
      <c r="M148">
        <f>a.*h./(L.*Cpw.)*(H148-I148)+a.*lambda.*kc./(L.*Cpw.)*K148</f>
        <v>1.3841962703441755</v>
      </c>
      <c r="N148">
        <f>a.*kc./G.*(H148-I148)</f>
        <v>1.6928013929421728</v>
      </c>
    </row>
    <row r="149" spans="5:14" x14ac:dyDescent="0.25">
      <c r="E149">
        <v>147</v>
      </c>
      <c r="F149">
        <f>dz.*E149</f>
        <v>3.3423571304129904</v>
      </c>
      <c r="G149">
        <f>G148+L148*dz.</f>
        <v>2.1942881467719935</v>
      </c>
      <c r="H149">
        <f>H148+M148*dz.</f>
        <v>310.47632828978203</v>
      </c>
      <c r="I149">
        <f>I148+N148*dz.</f>
        <v>308.50977285390479</v>
      </c>
      <c r="J149">
        <f>(10^(AntA.-AntB./(AntC.+(H149-273.15)))*101325/760)</f>
        <v>6372.1026114034112</v>
      </c>
      <c r="K149">
        <f>(J149/(R.*H149)-G149)</f>
        <v>0.2742750322386649</v>
      </c>
      <c r="L149">
        <f>a.*kc./G.*K149</f>
        <v>0.23525521381572764</v>
      </c>
      <c r="M149">
        <f>a.*h./(L.*Cpw.)*(H149-I149)+a.*lambda.*kc./(L.*Cpw.)*K149</f>
        <v>1.3775005827343572</v>
      </c>
      <c r="N149">
        <f>a.*kc./G.*(H149-I149)</f>
        <v>1.6867828462971637</v>
      </c>
    </row>
    <row r="150" spans="5:14" x14ac:dyDescent="0.25">
      <c r="E150">
        <v>148</v>
      </c>
      <c r="F150">
        <f>dz.*E150</f>
        <v>3.3650942537491333</v>
      </c>
      <c r="G150">
        <f>G149+L149*dz.</f>
        <v>2.1996371735839921</v>
      </c>
      <c r="H150">
        <f>H149+M149*dz.</f>
        <v>310.50764869042729</v>
      </c>
      <c r="I150">
        <f>I149+N149*dz.</f>
        <v>308.54812544352234</v>
      </c>
      <c r="J150">
        <f>(10^(AntA.-AntB./(AntC.+(H150-273.15)))*101325/760)</f>
        <v>6382.9594921245962</v>
      </c>
      <c r="K150">
        <f>(J150/(R.*H150)-G150)</f>
        <v>0.2728825549292857</v>
      </c>
      <c r="L150">
        <f>a.*kc./G.*K150</f>
        <v>0.23406083770180383</v>
      </c>
      <c r="M150">
        <f>a.*h./(L.*Cpw.)*(H150-I150)+a.*lambda.*kc./(L.*Cpw.)*K150</f>
        <v>1.3708597729370697</v>
      </c>
      <c r="N150">
        <f>a.*kc./G.*(H150-I150)</f>
        <v>1.6807510937648045</v>
      </c>
    </row>
    <row r="151" spans="5:14" x14ac:dyDescent="0.25">
      <c r="E151">
        <v>149</v>
      </c>
      <c r="F151">
        <f>dz.*E151</f>
        <v>3.3878313770852762</v>
      </c>
      <c r="G151">
        <f>G150+L150*dz.</f>
        <v>2.2049590437189788</v>
      </c>
      <c r="H151">
        <f>H150+M150*dz.</f>
        <v>310.53881809816113</v>
      </c>
      <c r="I151">
        <f>I150+N150*dz.</f>
        <v>308.5863408884386</v>
      </c>
      <c r="J151">
        <f>(10^(AntA.-AntB./(AntC.+(H151-273.15)))*101325/760)</f>
        <v>6393.7798978097808</v>
      </c>
      <c r="K151">
        <f>(J151/(R.*H151)-G151)</f>
        <v>0.27150351268337714</v>
      </c>
      <c r="L151">
        <f>a.*kc./G.*K151</f>
        <v>0.23287798530808015</v>
      </c>
      <c r="M151">
        <f>a.*h./(L.*Cpw.)*(H151-I151)+a.*lambda.*kc./(L.*Cpw.)*K151</f>
        <v>1.3642732750891264</v>
      </c>
      <c r="N151">
        <f>a.*kc./G.*(H151-I151)</f>
        <v>1.6747074631420167</v>
      </c>
    </row>
    <row r="152" spans="5:14" x14ac:dyDescent="0.25">
      <c r="E152">
        <v>150</v>
      </c>
      <c r="F152">
        <f>dz.*E152</f>
        <v>3.410568500421419</v>
      </c>
      <c r="G152">
        <f>G151+L151*dz.</f>
        <v>2.2102540191932012</v>
      </c>
      <c r="H152">
        <f>H151+M151*dz.</f>
        <v>310.56983774788102</v>
      </c>
      <c r="I152">
        <f>I151+N151*dz.</f>
        <v>308.62441891858003</v>
      </c>
      <c r="J152">
        <f>(10^(AntA.-AntB./(AntC.+(H152-273.15)))*101325/760)</f>
        <v>6404.5640471896932</v>
      </c>
      <c r="K152">
        <f>(J152/(R.*H152)-G152)</f>
        <v>0.27013772821537607</v>
      </c>
      <c r="L152">
        <f>a.*kc./G.*K152</f>
        <v>0.23170650457057648</v>
      </c>
      <c r="M152">
        <f>a.*h./(L.*Cpw.)*(H152-I152)+a.*lambda.*kc./(L.*Cpw.)*K152</f>
        <v>1.3577405304772909</v>
      </c>
      <c r="N152">
        <f>a.*kc./G.*(H152-I152)</f>
        <v>1.6686532452946654</v>
      </c>
    </row>
    <row r="153" spans="5:14" x14ac:dyDescent="0.25">
      <c r="E153">
        <v>151</v>
      </c>
      <c r="F153">
        <f>dz.*E153</f>
        <v>3.4333056237575614</v>
      </c>
      <c r="G153">
        <f>G152+L152*dz.</f>
        <v>2.2155223585654089</v>
      </c>
      <c r="H153">
        <f>H152+M152*dz.</f>
        <v>310.60070886178096</v>
      </c>
      <c r="I153">
        <f>I152+N152*dz.</f>
        <v>308.66235929322357</v>
      </c>
      <c r="J153">
        <f>(10^(AntA.-AntB./(AntC.+(H153-273.15)))*101325/760)</f>
        <v>6415.3121576370477</v>
      </c>
      <c r="K153">
        <f>(J153/(R.*H153)-G153)</f>
        <v>0.26878502713696317</v>
      </c>
      <c r="L153">
        <f>a.*kc./G.*K153</f>
        <v>0.23054624591037923</v>
      </c>
      <c r="M153">
        <f>a.*h./(L.*Cpw.)*(H153-I153)+a.*lambda.*kc./(L.*Cpw.)*K153</f>
        <v>1.3512609874330108</v>
      </c>
      <c r="N153">
        <f>a.*kc./G.*(H153-I153)</f>
        <v>1.6625896950174788</v>
      </c>
    </row>
    <row r="154" spans="5:14" x14ac:dyDescent="0.25">
      <c r="E154">
        <v>152</v>
      </c>
      <c r="F154">
        <f>dz.*E154</f>
        <v>3.4560427470937043</v>
      </c>
      <c r="G154">
        <f>G153+L153*dz.</f>
        <v>2.2207643169933577</v>
      </c>
      <c r="H154">
        <f>H153+M153*dz.</f>
        <v>310.63143264951157</v>
      </c>
      <c r="I154">
        <f>I153+N153*dz.</f>
        <v>308.7001618001766</v>
      </c>
      <c r="J154">
        <f>(10^(AntA.-AntB./(AntC.+(H154-273.15)))*101325/760)</f>
        <v>6426.0244451737199</v>
      </c>
      <c r="K154">
        <f>(J154/(R.*H154)-G154)</f>
        <v>0.26744523790407415</v>
      </c>
      <c r="L154">
        <f>a.*kc./G.*K154</f>
        <v>0.22939706218819103</v>
      </c>
      <c r="M154">
        <f>a.*h./(L.*Cpw.)*(H154-I154)+a.*lambda.*kc./(L.*Cpw.)*K154</f>
        <v>1.344834101228785</v>
      </c>
      <c r="N154">
        <f>a.*kc./G.*(H154-I154)</f>
        <v>1.6565180318747583</v>
      </c>
    </row>
    <row r="155" spans="5:14" x14ac:dyDescent="0.25">
      <c r="E155">
        <v>153</v>
      </c>
      <c r="F155">
        <f>dz.*E155</f>
        <v>3.4787798704298472</v>
      </c>
      <c r="G155">
        <f>G154+L154*dz.</f>
        <v>2.2259801462892796</v>
      </c>
      <c r="H155">
        <f>H154+M154*dz.</f>
        <v>310.66201030833787</v>
      </c>
      <c r="I155">
        <f>I154+N154*dz.</f>
        <v>308.73782625497586</v>
      </c>
      <c r="J155">
        <f>(10^(AntA.-AntB./(AntC.+(H155-273.15)))*101325/760)</f>
        <v>6436.7011244779869</v>
      </c>
      <c r="K155">
        <f>(J155/(R.*H155)-G155)</f>
        <v>0.26611819176496043</v>
      </c>
      <c r="L155">
        <f>a.*kc./G.*K155</f>
        <v>0.22825880865978065</v>
      </c>
      <c r="M155">
        <f>a.*h./(L.*Cpw.)*(H155-I155)+a.*lambda.*kc./(L.*Cpw.)*K155</f>
        <v>1.3384593339763555</v>
      </c>
      <c r="N155">
        <f>a.*kc./G.*(H155-I155)</f>
        <v>1.650439441022804</v>
      </c>
    </row>
    <row r="156" spans="5:14" x14ac:dyDescent="0.25">
      <c r="E156">
        <v>154</v>
      </c>
      <c r="F156">
        <f>dz.*E156</f>
        <v>3.50151699376599</v>
      </c>
      <c r="G156">
        <f>G155+L155*dz.</f>
        <v>2.2311700949743383</v>
      </c>
      <c r="H156">
        <f>H155+M155*dz.</f>
        <v>310.69244302329491</v>
      </c>
      <c r="I156">
        <f>I155+N155*dz.</f>
        <v>308.77535250010521</v>
      </c>
      <c r="J156">
        <f>(10^(AntA.-AntB./(AntC.+(H156-273.15)))*101325/760)</f>
        <v>6447.34240889182</v>
      </c>
      <c r="K156">
        <f>(J156/(R.*H156)-G156)</f>
        <v>0.26480372270926633</v>
      </c>
      <c r="L156">
        <f>a.*kc./G.*K156</f>
        <v>0.22713134293230464</v>
      </c>
      <c r="M156">
        <f>a.*h./(L.*Cpw.)*(H156-I156)+a.*lambda.*kc./(L.*Cpw.)*K156</f>
        <v>1.3321361545266286</v>
      </c>
      <c r="N156">
        <f>a.*kc./G.*(H156-I156)</f>
        <v>1.6443550740143495</v>
      </c>
    </row>
    <row r="157" spans="5:14" x14ac:dyDescent="0.25">
      <c r="E157">
        <v>155</v>
      </c>
      <c r="F157">
        <f>dz.*E157</f>
        <v>3.5242541171021329</v>
      </c>
      <c r="G157">
        <f>G156+L156*dz.</f>
        <v>2.2363344083320937</v>
      </c>
      <c r="H157">
        <f>H156+M156*dz.</f>
        <v>310.72273196734091</v>
      </c>
      <c r="I157">
        <f>I156+N156*dz.</f>
        <v>308.81274040423148</v>
      </c>
      <c r="J157">
        <f>(10^(AntA.-AntB./(AntC.+(H157-273.15)))*101325/760)</f>
        <v>6457.9485104281321</v>
      </c>
      <c r="K157">
        <f>(J157/(R.*H157)-G157)</f>
        <v>0.26350166741807124</v>
      </c>
      <c r="L157">
        <f>a.*kc./G.*K157</f>
        <v>0.22601452492145685</v>
      </c>
      <c r="M157">
        <f>a.*h./(L.*Cpw.)*(H157-I157)+a.*lambda.*kc./(L.*Cpw.)*K157</f>
        <v>1.3258640383711646</v>
      </c>
      <c r="N157">
        <f>a.*kc./G.*(H157-I157)</f>
        <v>1.6382660495853958</v>
      </c>
    </row>
    <row r="158" spans="5:14" x14ac:dyDescent="0.25">
      <c r="E158">
        <v>156</v>
      </c>
      <c r="F158">
        <f>dz.*E158</f>
        <v>3.5469912404382757</v>
      </c>
      <c r="G158">
        <f>G157+L157*dz.</f>
        <v>2.2414733284609927</v>
      </c>
      <c r="H158">
        <f>H157+M157*dz.</f>
        <v>310.7528783015083</v>
      </c>
      <c r="I158">
        <f>I157+N157*dz.</f>
        <v>308.84998986145831</v>
      </c>
      <c r="J158">
        <f>(10^(AntA.-AntB./(AntC.+(H158-273.15)))*101325/760)</f>
        <v>6468.5196397782038</v>
      </c>
      <c r="K158">
        <f>(J158/(R.*H158)-G158)</f>
        <v>0.26221186521495587</v>
      </c>
      <c r="L158">
        <f>a.*kc./G.*K158</f>
        <v>0.22490821680949621</v>
      </c>
      <c r="M158">
        <f>a.*h./(L.*Cpw.)*(H158-I158)+a.*lambda.*kc./(L.*Cpw.)*K158</f>
        <v>1.3196424675455212</v>
      </c>
      <c r="N158">
        <f>a.*kc./G.*(H158-I158)</f>
        <v>1.6321734544247353</v>
      </c>
    </row>
    <row r="159" spans="5:14" x14ac:dyDescent="0.25">
      <c r="E159">
        <v>157</v>
      </c>
      <c r="F159">
        <f>dz.*E159</f>
        <v>3.5697283637744182</v>
      </c>
      <c r="G159">
        <f>G158+L158*dz.</f>
        <v>2.2465870943259021</v>
      </c>
      <c r="H159">
        <f>H158+M158*dz.</f>
        <v>310.78288317505252</v>
      </c>
      <c r="I159">
        <f>I158+N158*dz.</f>
        <v>308.88710079059757</v>
      </c>
      <c r="J159">
        <f>(10^(AntA.-AntB./(AntC.+(H159-273.15)))*101325/760)</f>
        <v>6479.056006318915</v>
      </c>
      <c r="K159">
        <f>(J159/(R.*H159)-G159)</f>
        <v>0.26093415801794251</v>
      </c>
      <c r="L159">
        <f>a.*kc./G.*K159</f>
        <v>0.2238122830040242</v>
      </c>
      <c r="M159">
        <f>a.*h./(L.*Cpw.)*(H159-I159)+a.*lambda.*kc./(L.*Cpw.)*K159</f>
        <v>1.3134709305338745</v>
      </c>
      <c r="N159">
        <f>a.*kc./G.*(H159-I159)</f>
        <v>1.6260783439265105</v>
      </c>
    </row>
    <row r="160" spans="5:14" x14ac:dyDescent="0.25">
      <c r="E160">
        <v>158</v>
      </c>
      <c r="F160">
        <f>dz.*E160</f>
        <v>3.592465487110561</v>
      </c>
      <c r="G160">
        <f>G159+L159*dz.</f>
        <v>2.2516759418087084</v>
      </c>
      <c r="H160">
        <f>H159+M159*dz.</f>
        <v>310.81274772559851</v>
      </c>
      <c r="I160">
        <f>I159+N159*dz.</f>
        <v>308.92407313445767</v>
      </c>
      <c r="J160">
        <f>(10^(AntA.-AntB./(AntC.+(H160-273.15)))*101325/760)</f>
        <v>6489.5578181201381</v>
      </c>
      <c r="K160">
        <f>(J160/(R.*H160)-G160)</f>
        <v>0.2596683902924144</v>
      </c>
      <c r="L160">
        <f>a.*kc./G.*K160</f>
        <v>0.22272659009760229</v>
      </c>
      <c r="M160">
        <f>a.*h./(L.*Cpw.)*(H160-I160)+a.*lambda.*kc./(L.*Cpw.)*K160</f>
        <v>1.3073489221754329</v>
      </c>
      <c r="N160">
        <f>a.*kc./G.*(H160-I160)</f>
        <v>1.6199817429263406</v>
      </c>
    </row>
    <row r="161" spans="5:14" x14ac:dyDescent="0.25">
      <c r="E161">
        <v>159</v>
      </c>
      <c r="F161">
        <f>dz.*E161</f>
        <v>3.6152026104467039</v>
      </c>
      <c r="G161">
        <f>G160+L160*dz.</f>
        <v>2.2567401037579962</v>
      </c>
      <c r="H161">
        <f>H160+M160*dz.</f>
        <v>310.84247307928541</v>
      </c>
      <c r="I161">
        <f>I160+N160*dz.</f>
        <v>308.96090685914891</v>
      </c>
      <c r="J161">
        <f>(10^(AntA.-AntB./(AntC.+(H161-273.15)))*101325/760)</f>
        <v>6500.0252819521729</v>
      </c>
      <c r="K161">
        <f>(J161/(R.*H161)-G161)</f>
        <v>0.25841440900496471</v>
      </c>
      <c r="L161">
        <f>a.*kc./G.*K161</f>
        <v>0.22165100682816638</v>
      </c>
      <c r="M161">
        <f>a.*h./(L.*Cpw.)*(H161-I161)+a.*lambda.*kc./(L.*Cpw.)*K161</f>
        <v>1.3012759435724575</v>
      </c>
      <c r="N161">
        <f>a.*kc./G.*(H161-I161)</f>
        <v>1.6138846464212118</v>
      </c>
    </row>
    <row r="162" spans="5:14" x14ac:dyDescent="0.25">
      <c r="E162">
        <v>160</v>
      </c>
      <c r="F162">
        <f>dz.*E162</f>
        <v>3.6379397337828467</v>
      </c>
      <c r="G162">
        <f>G161+L161*dz.</f>
        <v>2.2617798100378286</v>
      </c>
      <c r="H162">
        <f>H161+M161*dz.</f>
        <v>310.87206035090878</v>
      </c>
      <c r="I162">
        <f>I161+N161*dz.</f>
        <v>308.99760195340491</v>
      </c>
      <c r="J162">
        <f>(10^(AntA.-AntB./(AntC.+(H162-273.15)))*101325/760)</f>
        <v>6510.4586032930802</v>
      </c>
      <c r="K162">
        <f>(J162/(R.*H162)-G162)</f>
        <v>0.25717206357808609</v>
      </c>
      <c r="L162">
        <f>a.*kc./G.*K162</f>
        <v>0.22058540404016272</v>
      </c>
      <c r="M162">
        <f>a.*h./(L.*Cpw.)*(H162-I162)+a.*lambda.*kc./(L.*Cpw.)*K162</f>
        <v>1.2952515019995801</v>
      </c>
      <c r="N162">
        <f>a.*kc./G.*(H162-I162)</f>
        <v>1.6077880202735229</v>
      </c>
    </row>
    <row r="163" spans="5:14" x14ac:dyDescent="0.25">
      <c r="E163">
        <v>161</v>
      </c>
      <c r="F163">
        <f>dz.*E163</f>
        <v>3.6606768571189896</v>
      </c>
      <c r="G163">
        <f>G162+L162*dz.</f>
        <v>2.2667952875756425</v>
      </c>
      <c r="H163">
        <f>H162+M162*dz.</f>
        <v>310.90151064406109</v>
      </c>
      <c r="I163">
        <f>I162+N162*dz.</f>
        <v>309.03415842792026</v>
      </c>
      <c r="J163">
        <f>(10^(AntA.-AntB./(AntC.+(H163-273.15)))*101325/760)</f>
        <v>6520.8579863361265</v>
      </c>
      <c r="K163">
        <f>(J163/(R.*H163)-G163)</f>
        <v>0.25594120584578128</v>
      </c>
      <c r="L163">
        <f>a.*kc./G.*K163</f>
        <v>0.21952965464647331</v>
      </c>
      <c r="M163">
        <f>a.*h./(L.*Cpw.)*(H163-I163)+a.*lambda.*kc./(L.*Cpw.)*K163</f>
        <v>1.2892751108148111</v>
      </c>
      <c r="N163">
        <f>a.*kc./G.*(H163-I163)</f>
        <v>1.6016928018997223</v>
      </c>
    </row>
    <row r="164" spans="5:14" x14ac:dyDescent="0.25">
      <c r="E164">
        <v>162</v>
      </c>
      <c r="F164">
        <f>dz.*E164</f>
        <v>3.6834139804551325</v>
      </c>
      <c r="G164">
        <f>G163+L163*dz.</f>
        <v>2.2717867604092801</v>
      </c>
      <c r="H164">
        <f>H163+M163*dz.</f>
        <v>310.93082505126989</v>
      </c>
      <c r="I164">
        <f>I163+N163*dz.</f>
        <v>309.07057631470366</v>
      </c>
      <c r="J164">
        <f>(10^(AntA.-AntB./(AntC.+(H164-273.15)))*101325/760)</f>
        <v>6531.2236339971978</v>
      </c>
      <c r="K164">
        <f>(J164/(R.*H164)-G164)</f>
        <v>0.25472169001001088</v>
      </c>
      <c r="L164">
        <f>a.*kc./G.*K164</f>
        <v>0.21848363359105993</v>
      </c>
      <c r="M164">
        <f>a.*h./(L.*Cpw.)*(H164-I164)+a.*lambda.*kc./(L.*Cpw.)*K164</f>
        <v>1.2833462893719019</v>
      </c>
      <c r="N164">
        <f>a.*kc./G.*(H164-I164)</f>
        <v>1.5955999009436372</v>
      </c>
    </row>
    <row r="165" spans="5:14" x14ac:dyDescent="0.25">
      <c r="E165">
        <v>163</v>
      </c>
      <c r="F165">
        <f>dz.*E165</f>
        <v>3.7061511037912753</v>
      </c>
      <c r="G165">
        <f>G164+L164*dz.</f>
        <v>2.2767544497331684</v>
      </c>
      <c r="H165">
        <f>H164+M164*dz.</f>
        <v>310.96000465413431</v>
      </c>
      <c r="I165">
        <f>I164+N164*dz.</f>
        <v>309.10685566644656</v>
      </c>
      <c r="J165">
        <f>(10^(AntA.-AntB./(AntC.+(H165-273.15)))*101325/760)</f>
        <v>6541.5557479222443</v>
      </c>
      <c r="K165">
        <f>(J165/(R.*H165)-G165)</f>
        <v>0.25351337259799411</v>
      </c>
      <c r="L165">
        <f>a.*kc./G.*K165</f>
        <v>0.21744721781233925</v>
      </c>
      <c r="M165">
        <f>a.*h./(L.*Cpw.)*(H165-I165)+a.*lambda.*kc./(L.*Cpw.)*K165</f>
        <v>1.2774645629342098</v>
      </c>
      <c r="N165">
        <f>a.*kc./G.*(H165-I165)</f>
        <v>1.5895101999350769</v>
      </c>
    </row>
    <row r="166" spans="5:14" x14ac:dyDescent="0.25">
      <c r="E166">
        <v>164</v>
      </c>
      <c r="F166">
        <f>dz.*E166</f>
        <v>3.7288882271274177</v>
      </c>
      <c r="G166">
        <f>G165+L165*dz.</f>
        <v>2.2816985739436686</v>
      </c>
      <c r="H166">
        <f>H165+M165*dz.</f>
        <v>310.9890505234593</v>
      </c>
      <c r="I166">
        <f>I165+N165*dz.</f>
        <v>309.14299655590656</v>
      </c>
      <c r="J166">
        <f>(10^(AntA.-AntB./(AntC.+(H166-273.15)))*101325/760)</f>
        <v>6551.8545284946931</v>
      </c>
      <c r="K166">
        <f>(J166/(R.*H166)-G166)</f>
        <v>0.25231611242031482</v>
      </c>
      <c r="L166">
        <f>a.*kc./G.*K166</f>
        <v>0.21642028620724912</v>
      </c>
      <c r="M166">
        <f>a.*h./(L.*Cpw.)*(H166-I166)+a.*lambda.*kc./(L.*Cpw.)*K166</f>
        <v>1.2716294625898936</v>
      </c>
      <c r="N166">
        <f>a.*kc./G.*(H166-I166)</f>
        <v>1.5834245549339068</v>
      </c>
    </row>
    <row r="167" spans="5:14" x14ac:dyDescent="0.25">
      <c r="E167">
        <v>165</v>
      </c>
      <c r="F167">
        <f>dz.*E167</f>
        <v>3.7516253504635606</v>
      </c>
      <c r="G167">
        <f>G166+L166*dz.</f>
        <v>2.2866193486836059</v>
      </c>
      <c r="H167">
        <f>H166+M166*dz.</f>
        <v>311.01796371938809</v>
      </c>
      <c r="I167">
        <f>I166+N166*dz.</f>
        <v>309.17899907530557</v>
      </c>
      <c r="J167">
        <f>(10^(AntA.-AntB./(AntC.+(H167-273.15)))*101325/760)</f>
        <v>6562.1201748429567</v>
      </c>
      <c r="K167">
        <f>(J167/(R.*H167)-G167)</f>
        <v>0.25112977052987651</v>
      </c>
      <c r="L167">
        <f>a.*kc./G.*K167</f>
        <v>0.21540271959604274</v>
      </c>
      <c r="M167">
        <f>a.*h./(L.*Cpw.)*(H167-I167)+a.*lambda.*kc./(L.*Cpw.)*K167</f>
        <v>1.2658405251686571</v>
      </c>
      <c r="N167">
        <f>a.*kc./G.*(H167-I167)</f>
        <v>1.5773437961598373</v>
      </c>
    </row>
    <row r="168" spans="5:14" x14ac:dyDescent="0.25">
      <c r="E168">
        <v>166</v>
      </c>
      <c r="F168">
        <f>dz.*E168</f>
        <v>3.7743624737997035</v>
      </c>
      <c r="G168">
        <f>G167+L167*dz.</f>
        <v>2.2915169868860019</v>
      </c>
      <c r="H168">
        <f>H167+M167*dz.</f>
        <v>311.04674529153272</v>
      </c>
      <c r="I168">
        <f>I167+N167*dz.</f>
        <v>309.21486333574234</v>
      </c>
      <c r="J168">
        <f>(10^(AntA.-AntB./(AntC.+(H168-273.15)))*101325/760)</f>
        <v>6572.3528848477581</v>
      </c>
      <c r="K168">
        <f>(J168/(R.*H168)-G168)</f>
        <v>0.24995421018156749</v>
      </c>
      <c r="L168">
        <f>a.*kc./G.*K168</f>
        <v>0.21439440068769211</v>
      </c>
      <c r="M168">
        <f>a.*h./(L.*Cpw.)*(H168-I168)+a.*lambda.*kc./(L.*Cpw.)*K168</f>
        <v>1.2600972931595058</v>
      </c>
      <c r="N168">
        <f>a.*kc./G.*(H168-I168)</f>
        <v>1.5712687286082692</v>
      </c>
    </row>
    <row r="169" spans="5:14" x14ac:dyDescent="0.25">
      <c r="E169">
        <v>167</v>
      </c>
      <c r="F169">
        <f>dz.*E169</f>
        <v>3.7970995971358463</v>
      </c>
      <c r="G169">
        <f>G168+L168*dz.</f>
        <v>2.2963916988170165</v>
      </c>
      <c r="H169">
        <f>H168+M168*dz.</f>
        <v>311.07539627910285</v>
      </c>
      <c r="I169">
        <f>I168+N168*dz.</f>
        <v>309.25058946661892</v>
      </c>
      <c r="J169">
        <f>(10^(AntA.-AntB./(AntC.+(H169-273.15)))*101325/760)</f>
        <v>6582.5528551497682</v>
      </c>
      <c r="K169">
        <f>(J169/(R.*H169)-G169)</f>
        <v>0.24878929679282979</v>
      </c>
      <c r="L169">
        <f>a.*kc./G.*K169</f>
        <v>0.21339521404606654</v>
      </c>
      <c r="M169">
        <f>a.*h./(L.*Cpw.)*(H169-I169)+a.*lambda.*kc./(L.*Cpw.)*K169</f>
        <v>1.25439931463041</v>
      </c>
      <c r="N169">
        <f>a.*kc./G.*(H169-I169)</f>
        <v>1.5652001326527767</v>
      </c>
    </row>
    <row r="170" spans="5:14" x14ac:dyDescent="0.25">
      <c r="E170">
        <v>168</v>
      </c>
      <c r="F170">
        <f>dz.*E170</f>
        <v>3.8198367204719892</v>
      </c>
      <c r="G170">
        <f>G169+L169*dz.</f>
        <v>2.3012436921181245</v>
      </c>
      <c r="H170">
        <f>H169+M169*dz.</f>
        <v>311.10391771103235</v>
      </c>
      <c r="I170">
        <f>I169+N169*dz.</f>
        <v>309.28617761508082</v>
      </c>
      <c r="J170">
        <f>(10^(AntA.-AntB./(AntC.+(H170-273.15)))*101325/760)</f>
        <v>6592.7202811568486</v>
      </c>
      <c r="K170">
        <f>(J170/(R.*H170)-G170)</f>
        <v>0.24763489790483195</v>
      </c>
      <c r="L170">
        <f>a.*kc./G.*K170</f>
        <v>0.21240504605662938</v>
      </c>
      <c r="M170">
        <f>a.*h./(L.*Cpw.)*(H170-I170)+a.*lambda.*kc./(L.*Cpw.)*K170</f>
        <v>1.2487461431485685</v>
      </c>
      <c r="N170">
        <f>a.*kc./G.*(H170-I170)</f>
        <v>1.5591387646338442</v>
      </c>
    </row>
    <row r="171" spans="5:14" x14ac:dyDescent="0.25">
      <c r="E171">
        <v>169</v>
      </c>
      <c r="F171">
        <f>dz.*E171</f>
        <v>3.8425738438081321</v>
      </c>
      <c r="G171">
        <f>G170+L170*dz.</f>
        <v>2.3060731718475331</v>
      </c>
      <c r="H171">
        <f>H170+M170*dz.</f>
        <v>311.13231060610468</v>
      </c>
      <c r="I171">
        <f>I170+N170*dz.</f>
        <v>309.32162794547048</v>
      </c>
      <c r="J171">
        <f>(10^(AntA.-AntB./(AntC.+(H171-273.15)))*101325/760)</f>
        <v>6602.8553570517033</v>
      </c>
      <c r="K171">
        <f>(J171/(R.*H171)-G171)</f>
        <v>0.24649088314454026</v>
      </c>
      <c r="L171">
        <f>a.*kc./G.*K171</f>
        <v>0.21142378489390504</v>
      </c>
      <c r="M171">
        <f>a.*h./(L.*Cpw.)*(H171-I171)+a.*lambda.*kc./(L.*Cpw.)*K171</f>
        <v>1.2431373377026809</v>
      </c>
      <c r="N171">
        <f>a.*kc./G.*(H171-I171)</f>
        <v>1.5530853574351686</v>
      </c>
    </row>
    <row r="172" spans="5:14" x14ac:dyDescent="0.25">
      <c r="E172">
        <v>170</v>
      </c>
      <c r="F172">
        <f>dz.*E172</f>
        <v>3.8653109671442745</v>
      </c>
      <c r="G172">
        <f>G171+L171*dz.</f>
        <v>2.31088034052086</v>
      </c>
      <c r="H172">
        <f>H171+M171*dz.</f>
        <v>311.16057597307577</v>
      </c>
      <c r="I172">
        <f>I171+N171*dz.</f>
        <v>309.35694063879401</v>
      </c>
      <c r="J172">
        <f>(10^(AntA.-AntB./(AntC.+(H172-273.15)))*101325/760)</f>
        <v>6612.9582757991566</v>
      </c>
      <c r="K172">
        <f>(J172/(R.*H172)-G172)</f>
        <v>0.24535712418738864</v>
      </c>
      <c r="L172">
        <f>a.*kc./G.*K172</f>
        <v>0.21045132048945969</v>
      </c>
      <c r="M172">
        <f>a.*h./(L.*Cpw.)*(H172-I172)+a.*lambda.*kc./(L.*Cpw.)*K172</f>
        <v>1.2375724626258409</v>
      </c>
      <c r="N172">
        <f>a.*kc./G.*(H172-I172)</f>
        <v>1.5470406210465062</v>
      </c>
    </row>
    <row r="173" spans="5:14" x14ac:dyDescent="0.25">
      <c r="E173">
        <v>171</v>
      </c>
      <c r="F173">
        <f>dz.*E173</f>
        <v>3.8880480904804173</v>
      </c>
      <c r="G173">
        <f>G172+L172*dz.</f>
        <v>2.3156653981510829</v>
      </c>
      <c r="H173">
        <f>H172+M172*dz.</f>
        <v>311.18871481079589</v>
      </c>
      <c r="I173">
        <f>I172+N172*dz.</f>
        <v>309.39211589220076</v>
      </c>
      <c r="J173">
        <f>(10^(AntA.-AntB./(AntC.+(H173-273.15)))*101325/760)</f>
        <v>6623.0292291537589</v>
      </c>
      <c r="K173">
        <f>(J173/(R.*H173)-G173)</f>
        <v>0.24423349472077804</v>
      </c>
      <c r="L173">
        <f>a.*kc./G.*K173</f>
        <v>0.20948754450059351</v>
      </c>
      <c r="M173">
        <f>a.*h./(L.*Cpw.)*(H173-I173)+a.*lambda.*kc./(L.*Cpw.)*K173</f>
        <v>1.2320510875202209</v>
      </c>
      <c r="N173">
        <f>a.*kc./G.*(H173-I173)</f>
        <v>1.5410052431145715</v>
      </c>
    </row>
    <row r="174" spans="5:14" x14ac:dyDescent="0.25">
      <c r="E174">
        <v>172</v>
      </c>
      <c r="F174">
        <f>dz.*E174</f>
        <v>3.9107852138165602</v>
      </c>
      <c r="G174">
        <f>G173+L173*dz.</f>
        <v>2.3204285422877784</v>
      </c>
      <c r="H174">
        <f>H173+M173*dz.</f>
        <v>311.21672810832928</v>
      </c>
      <c r="I174">
        <f>I173+N173*dz.</f>
        <v>309.42715391847508</v>
      </c>
      <c r="J174">
        <f>(10^(AntA.-AntB./(AntC.+(H174-273.15)))*101325/760)</f>
        <v>6633.0684076671096</v>
      </c>
      <c r="K174">
        <f>(J174/(R.*H174)-G174)</f>
        <v>0.24311987040817984</v>
      </c>
      <c r="L174">
        <f>a.*kc./G.*K174</f>
        <v>0.20853235027955078</v>
      </c>
      <c r="M174">
        <f>a.*h./(L.*Cpw.)*(H174-I174)+a.*lambda.*kc./(L.*Cpw.)*K174</f>
        <v>1.2265727871825485</v>
      </c>
      <c r="N174">
        <f>a.*kc./G.*(H174-I174)</f>
        <v>1.5349798894815547</v>
      </c>
    </row>
    <row r="175" spans="5:14" x14ac:dyDescent="0.25">
      <c r="E175">
        <v>173</v>
      </c>
      <c r="F175">
        <f>dz.*E175</f>
        <v>3.9335223371527031</v>
      </c>
      <c r="G175">
        <f>G174+L174*dz.</f>
        <v>2.3251699680556603</v>
      </c>
      <c r="H175">
        <f>H174+M174*dz.</f>
        <v>311.24461684507219</v>
      </c>
      <c r="I175">
        <f>I174+N174*dz.</f>
        <v>309.46205494554073</v>
      </c>
      <c r="J175">
        <f>(10^(AntA.-AntB./(AntC.+(H175-273.15)))*101325/760)</f>
        <v>6643.0760006953042</v>
      </c>
      <c r="K175">
        <f>(J175/(R.*H175)-G175)</f>
        <v>0.24201612885397106</v>
      </c>
      <c r="L175">
        <f>a.*kc./G.*K175</f>
        <v>0.20758563284335796</v>
      </c>
      <c r="M175">
        <f>a.*h./(L.*Cpw.)*(H175-I175)+a.*lambda.*kc./(L.*Cpw.)*K175</f>
        <v>1.2211371415309389</v>
      </c>
      <c r="N175">
        <f>a.*kc./G.*(H175-I175)</f>
        <v>1.5289652047114977</v>
      </c>
    </row>
    <row r="176" spans="5:14" x14ac:dyDescent="0.25">
      <c r="E176">
        <v>174</v>
      </c>
      <c r="F176">
        <f>dz.*E176</f>
        <v>3.9562594604888459</v>
      </c>
      <c r="G176">
        <f>G175+L175*dz.</f>
        <v>2.3298898681924309</v>
      </c>
      <c r="H176">
        <f>H175+M175*dz.</f>
        <v>311.27238199086952</v>
      </c>
      <c r="I176">
        <f>I175+N175*dz.</f>
        <v>309.49681921597693</v>
      </c>
      <c r="J176">
        <f>(10^(AntA.-AntB./(AntC.+(H176-273.15)))*101325/760)</f>
        <v>6653.0521964064374</v>
      </c>
      <c r="K176">
        <f>(J176/(R.*H176)-G176)</f>
        <v>0.24092214956897173</v>
      </c>
      <c r="L176">
        <f>a.*kc./G.*K176</f>
        <v>0.20664728884426384</v>
      </c>
      <c r="M176">
        <f>a.*h./(L.*Cpw.)*(H176-I176)+a.*lambda.*kc./(L.*Cpw.)*K176</f>
        <v>1.2157437355330845</v>
      </c>
      <c r="N176">
        <f>a.*kc./G.*(H176-I176)</f>
        <v>1.5229618126054065</v>
      </c>
    </row>
    <row r="177" spans="5:14" x14ac:dyDescent="0.25">
      <c r="E177">
        <v>175</v>
      </c>
      <c r="F177">
        <f>dz.*E177</f>
        <v>3.9789965838249888</v>
      </c>
      <c r="G177">
        <f>G176+L176*dz.</f>
        <v>2.3345884330859623</v>
      </c>
      <c r="H177">
        <f>H176+M176*dz.</f>
        <v>311.30002450612949</v>
      </c>
      <c r="I177">
        <f>I176+N176*dz.</f>
        <v>309.53144698654637</v>
      </c>
      <c r="J177">
        <f>(10^(AntA.-AntB./(AntC.+(H177-273.15)))*101325/760)</f>
        <v>6662.9971817879486</v>
      </c>
      <c r="K177">
        <f>(J177/(R.*H177)-G177)</f>
        <v>0.23983781393658044</v>
      </c>
      <c r="L177">
        <f>a.*kc./G.*K177</f>
        <v>0.20571721654069283</v>
      </c>
      <c r="M177">
        <f>a.*h./(L.*Cpw.)*(H177-I177)+a.*lambda.*kc./(L.*Cpw.)*K177</f>
        <v>1.2103921591352786</v>
      </c>
      <c r="N177">
        <f>a.*kc./G.*(H177-I177)</f>
        <v>1.5169703167044684</v>
      </c>
    </row>
    <row r="178" spans="5:14" x14ac:dyDescent="0.25">
      <c r="E178">
        <v>176</v>
      </c>
      <c r="F178">
        <f>dz.*E178</f>
        <v>4.0017337071611312</v>
      </c>
      <c r="G178">
        <f>G177+L177*dz.</f>
        <v>2.3392658508108162</v>
      </c>
      <c r="H178">
        <f>H177+M177*dz.</f>
        <v>311.32754534193685</v>
      </c>
      <c r="I178">
        <f>I177+N177*dz.</f>
        <v>309.56593852773455</v>
      </c>
      <c r="J178">
        <f>(10^(AntA.-AntB./(AntC.+(H178-273.15)))*101325/760)</f>
        <v>6672.9111426540294</v>
      </c>
      <c r="K178">
        <f>(J178/(R.*H178)-G178)</f>
        <v>0.23876300517958704</v>
      </c>
      <c r="L178">
        <f>a.*kc./G.*K178</f>
        <v>0.20479531576877907</v>
      </c>
      <c r="M178">
        <f>a.*h./(L.*Cpw.)*(H178-I178)+a.*lambda.*kc./(L.*Cpw.)*K178</f>
        <v>1.2050820071927333</v>
      </c>
      <c r="N178">
        <f>a.*kc./G.*(H178-I178)</f>
        <v>1.5109913007822986</v>
      </c>
    </row>
    <row r="179" spans="5:14" x14ac:dyDescent="0.25">
      <c r="E179">
        <v>177</v>
      </c>
      <c r="F179">
        <f>dz.*E179</f>
        <v>4.0244708304972745</v>
      </c>
      <c r="G179">
        <f>G178+L178*dz.</f>
        <v>2.3439223071641151</v>
      </c>
      <c r="H179">
        <f>H178+M178*dz.</f>
        <v>311.35494544016456</v>
      </c>
      <c r="I179">
        <f>I178+N178*dz.</f>
        <v>309.60029412330027</v>
      </c>
      <c r="J179">
        <f>(10^(AntA.-AntB./(AntC.+(H179-273.15)))*101325/760)</f>
        <v>6682.7942636530543</v>
      </c>
      <c r="K179">
        <f>(J179/(R.*H179)-G179)</f>
        <v>0.2376976083276352</v>
      </c>
      <c r="L179">
        <f>a.*kc./G.*K179</f>
        <v>0.2038814879144579</v>
      </c>
      <c r="M179">
        <f>a.*h./(L.*Cpw.)*(H179-I179)+a.*lambda.*kc./(L.*Cpw.)*K179</f>
        <v>1.1998128794010747</v>
      </c>
      <c r="N179">
        <f>a.*kc./G.*(H179-I179)</f>
        <v>1.5050253293262157</v>
      </c>
    </row>
    <row r="180" spans="5:14" x14ac:dyDescent="0.25">
      <c r="E180">
        <v>178</v>
      </c>
      <c r="F180">
        <f>dz.*E180</f>
        <v>4.0472079538334169</v>
      </c>
      <c r="G180">
        <f>G179+L179*dz.</f>
        <v>2.3485579857007823</v>
      </c>
      <c r="H180">
        <f>H179+M179*dz.</f>
        <v>311.38222573358377</v>
      </c>
      <c r="I180">
        <f>I179+N179*dz.</f>
        <v>309.63451406983717</v>
      </c>
      <c r="J180">
        <f>(10^(AntA.-AntB./(AntC.+(H180-273.15)))*101325/760)</f>
        <v>6692.6467282749381</v>
      </c>
      <c r="K180">
        <f>(J180/(R.*H180)-G180)</f>
        <v>0.23664151018527546</v>
      </c>
      <c r="L180">
        <f>a.*kc./G.*K180</f>
        <v>0.20297563588606385</v>
      </c>
      <c r="M180">
        <f>a.*h./(L.*Cpw.)*(H180-I180)+a.*lambda.*kc./(L.*Cpw.)*K180</f>
        <v>1.1945843802288048</v>
      </c>
      <c r="N180">
        <f>a.*kc./G.*(H180-I180)</f>
        <v>1.4990729480077913</v>
      </c>
    </row>
    <row r="181" spans="5:14" x14ac:dyDescent="0.25">
      <c r="E181">
        <v>179</v>
      </c>
      <c r="F181">
        <f>dz.*E181</f>
        <v>4.0699450771695602</v>
      </c>
      <c r="G181">
        <f>G180+L180*dz.</f>
        <v>2.3531730677681559</v>
      </c>
      <c r="H181">
        <f>H180+M180*dz.</f>
        <v>311.40938714597246</v>
      </c>
      <c r="I181">
        <f>I180+N180*dz.</f>
        <v>309.66859867634588</v>
      </c>
      <c r="J181">
        <f>(10^(AntA.-AntB./(AntC.+(H181-273.15)))*101325/760)</f>
        <v>6702.4687188585194</v>
      </c>
      <c r="K181">
        <f>(J181/(R.*H181)-G181)</f>
        <v>0.23559459930064941</v>
      </c>
      <c r="L181">
        <f>a.*kc./G.*K181</f>
        <v>0.2020776640874701</v>
      </c>
      <c r="M181">
        <f>a.*h./(L.*Cpw.)*(H181-I181)+a.*lambda.*kc./(L.*Cpw.)*K181</f>
        <v>1.1893961188509246</v>
      </c>
      <c r="N181">
        <f>a.*kc./G.*(H181-I181)</f>
        <v>1.4931346841428697</v>
      </c>
    </row>
    <row r="182" spans="5:14" x14ac:dyDescent="0.25">
      <c r="E182">
        <v>180</v>
      </c>
      <c r="F182">
        <f>dz.*E182</f>
        <v>4.0926822005057026</v>
      </c>
      <c r="G182">
        <f>G181+L181*dz.</f>
        <v>2.3577677325399922</v>
      </c>
      <c r="H182">
        <f>H181+M181*dz.</f>
        <v>311.43643059222228</v>
      </c>
      <c r="I182">
        <f>I181+N181*dz.</f>
        <v>309.70254826381671</v>
      </c>
      <c r="J182">
        <f>(10^(AntA.-AntB./(AntC.+(H182-273.15)))*101325/760)</f>
        <v>6712.2604165989032</v>
      </c>
      <c r="K182">
        <f>(J182/(R.*H182)-G182)</f>
        <v>0.23455676593475872</v>
      </c>
      <c r="L182">
        <f>a.*kc./G.*K182</f>
        <v>0.20118747839172929</v>
      </c>
      <c r="M182">
        <f>a.*h./(L.*Cpw.)*(H182-I182)+a.*lambda.*kc./(L.*Cpw.)*K182</f>
        <v>1.1842477090835561</v>
      </c>
      <c r="N182">
        <f>a.*kc./G.*(H182-I182)</f>
        <v>1.4872110471412474</v>
      </c>
    </row>
    <row r="183" spans="5:14" x14ac:dyDescent="0.25">
      <c r="E183">
        <v>181</v>
      </c>
      <c r="F183">
        <f>dz.*E183</f>
        <v>4.1154193238418451</v>
      </c>
      <c r="G183">
        <f>G182+L182*dz.</f>
        <v>2.3623421570498726</v>
      </c>
      <c r="H183">
        <f>H182+M182*dz.</f>
        <v>311.46335697844427</v>
      </c>
      <c r="I183">
        <f>I182+N182*dz.</f>
        <v>309.73636316482242</v>
      </c>
      <c r="J183">
        <f>(10^(AntA.-AntB./(AntC.+(H183-273.15)))*101325/760)</f>
        <v>6722.0220015548011</v>
      </c>
      <c r="K183">
        <f>(J183/(R.*H183)-G183)</f>
        <v>0.23352790203131946</v>
      </c>
      <c r="L183">
        <f>a.*kc./G.*K183</f>
        <v>0.2003049861152166</v>
      </c>
      <c r="M183">
        <f>a.*h./(L.*Cpw.)*(H183-I183)+a.*lambda.*kc./(L.*Cpw.)*K183</f>
        <v>1.1791387693196416</v>
      </c>
      <c r="N183">
        <f>a.*kc./G.*(H183-I183)</f>
        <v>1.481302528946606</v>
      </c>
    </row>
    <row r="184" spans="5:14" x14ac:dyDescent="0.25">
      <c r="E184">
        <v>182</v>
      </c>
      <c r="F184">
        <f>dz.*E184</f>
        <v>4.1381564471779884</v>
      </c>
      <c r="G184">
        <f>G183+L183*dz.</f>
        <v>2.3668965162240188</v>
      </c>
      <c r="H184">
        <f>H183+M183*dz.</f>
        <v>311.49016720207271</v>
      </c>
      <c r="I184">
        <f>I183+N183*dz.</f>
        <v>309.7700437231212</v>
      </c>
      <c r="J184">
        <f>(10^(AntA.-AntB./(AntC.+(H184-273.15)))*101325/760)</f>
        <v>6731.7536526557942</v>
      </c>
      <c r="K184">
        <f>(J184/(R.*H184)-G184)</f>
        <v>0.23250790118717557</v>
      </c>
      <c r="L184">
        <f>a.*kc./G.*K184</f>
        <v>0.19943009599225242</v>
      </c>
      <c r="M184">
        <f>a.*h./(L.*Cpw.)*(H184-I184)+a.*lambda.*kc./(L.*Cpw.)*K184</f>
        <v>1.1740689224655396</v>
      </c>
      <c r="N184">
        <f>a.*kc./G.*(H184-I184)</f>
        <v>1.4754096044661535</v>
      </c>
    </row>
    <row r="185" spans="5:14" x14ac:dyDescent="0.25">
      <c r="E185">
        <v>183</v>
      </c>
      <c r="F185">
        <f>dz.*E185</f>
        <v>4.1608935705141308</v>
      </c>
      <c r="G185">
        <f>G184+L184*dz.</f>
        <v>2.3714309829135334</v>
      </c>
      <c r="H185">
        <f>H184+M184*dz.</f>
        <v>311.51686215196793</v>
      </c>
      <c r="I185">
        <f>I184+N184*dz.</f>
        <v>309.80359029326928</v>
      </c>
      <c r="J185">
        <f>(10^(AntA.-AntB./(AntC.+(H185-273.15)))*101325/760)</f>
        <v>6741.455547709731</v>
      </c>
      <c r="K185">
        <f>(J185/(R.*H185)-G185)</f>
        <v>0.2314966586233238</v>
      </c>
      <c r="L185">
        <f>a.*kc./G.*K185</f>
        <v>0.19856271815024928</v>
      </c>
      <c r="M185">
        <f>a.*h./(L.*Cpw.)*(H185-I185)+a.*lambda.*kc./(L.*Cpw.)*K185</f>
        <v>1.1690377958788865</v>
      </c>
      <c r="N185">
        <f>a.*kc./G.*(H185-I185)</f>
        <v>1.4695327319910529</v>
      </c>
    </row>
    <row r="186" spans="5:14" x14ac:dyDescent="0.25">
      <c r="E186">
        <v>184</v>
      </c>
      <c r="F186">
        <f>dz.*E186</f>
        <v>4.1836306938502741</v>
      </c>
      <c r="G186">
        <f>G185+L185*dz.</f>
        <v>2.3759457279260752</v>
      </c>
      <c r="H186">
        <f>H185+M185*dz.</f>
        <v>311.54344270851743</v>
      </c>
      <c r="I186">
        <f>I185+N185*dz.</f>
        <v>309.83700324024306</v>
      </c>
      <c r="J186">
        <f>(10^(AntA.-AntB./(AntC.+(H186-273.15)))*101325/760)</f>
        <v>6751.1278634099581</v>
      </c>
      <c r="K186">
        <f>(J186/(R.*H186)-G186)</f>
        <v>0.23049407115643694</v>
      </c>
      <c r="L186">
        <f>a.*kc./G.*K186</f>
        <v>0.1977027640852865</v>
      </c>
      <c r="M186">
        <f>a.*h./(L.*Cpw.)*(H186-I186)+a.*lambda.*kc./(L.*Cpw.)*K186</f>
        <v>1.1640450213072</v>
      </c>
      <c r="N186">
        <f>a.*kc./G.*(H186-I186)</f>
        <v>1.463672353607294</v>
      </c>
    </row>
    <row r="187" spans="5:14" x14ac:dyDescent="0.25">
      <c r="E187">
        <v>185</v>
      </c>
      <c r="F187">
        <f>dz.*E187</f>
        <v>4.2063678171864165</v>
      </c>
      <c r="G187">
        <f>G186+L186*dz.</f>
        <v>2.3804409200569787</v>
      </c>
      <c r="H187">
        <f>H186+M186*dz.</f>
        <v>311.56990974373571</v>
      </c>
      <c r="I187">
        <f>I186+N186*dz.</f>
        <v>309.87028293907076</v>
      </c>
      <c r="J187">
        <f>(10^(AntA.-AntB./(AntC.+(H187-273.15)))*101325/760)</f>
        <v>6760.7707753425721</v>
      </c>
      <c r="K187">
        <f>(J187/(R.*H187)-G187)</f>
        <v>0.22950003717094125</v>
      </c>
      <c r="L187">
        <f>a.*kc./G.*K187</f>
        <v>0.19685014663815995</v>
      </c>
      <c r="M187">
        <f>a.*h./(L.*Cpw.)*(H187-I187)+a.*lambda.*kc./(L.*Cpw.)*K187</f>
        <v>1.1590902348274965</v>
      </c>
      <c r="N187">
        <f>a.*kc./G.*(H187-I187)</f>
        <v>1.457828895597252</v>
      </c>
    </row>
    <row r="188" spans="5:14" x14ac:dyDescent="0.25">
      <c r="E188">
        <v>186</v>
      </c>
      <c r="F188">
        <f>dz.*E188</f>
        <v>4.2291049405225589</v>
      </c>
      <c r="G188">
        <f>G187+L187*dz.</f>
        <v>2.3849167261198283</v>
      </c>
      <c r="H188">
        <f>H187+M187*dz.</f>
        <v>311.59626412136271</v>
      </c>
      <c r="I188">
        <f>I187+N187*dz.</f>
        <v>309.90342977447295</v>
      </c>
      <c r="J188">
        <f>(10^(AntA.-AntB./(AntC.+(H188-273.15)))*101325/760)</f>
        <v>6770.3844579936776</v>
      </c>
      <c r="K188">
        <f>(J188/(R.*H188)-G188)</f>
        <v>0.22851445659163483</v>
      </c>
      <c r="L188">
        <f>a.*kc./G.*K188</f>
        <v>0.1960047799708958</v>
      </c>
      <c r="M188">
        <f>a.*h./(L.*Cpw.)*(H188-I188)+a.*lambda.*kc./(L.*Cpw.)*K188</f>
        <v>1.1541730767869376</v>
      </c>
      <c r="N188">
        <f>a.*kc./G.*(H188-I188)</f>
        <v>1.452002768832471</v>
      </c>
    </row>
    <row r="189" spans="5:14" x14ac:dyDescent="0.25">
      <c r="E189">
        <v>187</v>
      </c>
      <c r="F189">
        <f>dz.*E189</f>
        <v>4.2518420638587022</v>
      </c>
      <c r="G189">
        <f>G188+L188*dz.</f>
        <v>2.3893733109765001</v>
      </c>
      <c r="H189">
        <f>H188+M188*dz.</f>
        <v>311.62250669696084</v>
      </c>
      <c r="I189">
        <f>I188+N188*dz.</f>
        <v>309.93644414051232</v>
      </c>
      <c r="J189">
        <f>(10^(AntA.-AntB./(AntC.+(H189-273.15)))*101325/760)</f>
        <v>6779.9690847565762</v>
      </c>
      <c r="K189">
        <f>(J189/(R.*H189)-G189)</f>
        <v>0.22753723085680333</v>
      </c>
      <c r="L189">
        <f>a.*kc./G.*K189</f>
        <v>0.19516657954369115</v>
      </c>
      <c r="M189">
        <f>a.*h./(L.*Cpw.)*(H189-I189)+a.*lambda.*kc./(L.*Cpw.)*K189</f>
        <v>1.1492931917442728</v>
      </c>
      <c r="N189">
        <f>a.*kc./G.*(H189-I189)</f>
        <v>1.4461943691572803</v>
      </c>
    </row>
    <row r="190" spans="5:14" x14ac:dyDescent="0.25">
      <c r="E190">
        <v>188</v>
      </c>
      <c r="F190">
        <f>dz.*E190</f>
        <v>4.2745791871948446</v>
      </c>
      <c r="G190">
        <f>G189+L189*dz.</f>
        <v>2.393810837566678</v>
      </c>
      <c r="H190">
        <f>H189+M189*dz.</f>
        <v>311.64863831801091</v>
      </c>
      <c r="I190">
        <f>I189+N189*dz.</f>
        <v>309.9693264402519</v>
      </c>
      <c r="J190">
        <f>(10^(AntA.-AntB./(AntC.+(H190-273.15)))*101325/760)</f>
        <v>6789.5248279390371</v>
      </c>
      <c r="K190">
        <f>(J190/(R.*H190)-G190)</f>
        <v>0.22656826289188459</v>
      </c>
      <c r="L190">
        <f>a.*kc./G.*K190</f>
        <v>0.19433546209232508</v>
      </c>
      <c r="M190">
        <f>a.*h./(L.*Cpw.)*(H190-I190)+a.*lambda.*kc./(L.*Cpw.)*K190</f>
        <v>1.1444502284124276</v>
      </c>
      <c r="N190">
        <f>a.*kc./G.*(H190-I190)</f>
        <v>1.4404040777642202</v>
      </c>
    </row>
    <row r="191" spans="5:14" x14ac:dyDescent="0.25">
      <c r="E191">
        <v>189</v>
      </c>
      <c r="F191">
        <f>dz.*E191</f>
        <v>4.2973163105309879</v>
      </c>
      <c r="G191">
        <f>G190+L190*dz.</f>
        <v>2.3982294669368573</v>
      </c>
      <c r="H191">
        <f>H190+M190*dz.</f>
        <v>311.67465982400643</v>
      </c>
      <c r="I191">
        <f>I190+N190*dz.</f>
        <v>310.00207708542189</v>
      </c>
      <c r="J191">
        <f>(10^(AntA.-AntB./(AntC.+(H191-273.15)))*101325/760)</f>
        <v>6799.0518587703764</v>
      </c>
      <c r="K191">
        <f>(J191/(R.*H191)-G191)</f>
        <v>0.225607457083568</v>
      </c>
      <c r="L191">
        <f>a.*kc./G.*K191</f>
        <v>0.19351134560594282</v>
      </c>
      <c r="M191">
        <f>a.*h./(L.*Cpw.)*(H191-I191)+a.*lambda.*kc./(L.*Cpw.)*K191</f>
        <v>1.1396438396016861</v>
      </c>
      <c r="N191">
        <f>a.*kc./G.*(H191-I191)</f>
        <v>1.4346322615607401</v>
      </c>
    </row>
    <row r="192" spans="5:14" x14ac:dyDescent="0.25">
      <c r="E192">
        <v>190</v>
      </c>
      <c r="F192">
        <f>dz.*E192</f>
        <v>4.3200534338671304</v>
      </c>
      <c r="G192">
        <f>G191+L191*dz.</f>
        <v>2.4026293582688427</v>
      </c>
      <c r="H192">
        <f>H191+M191*dz.</f>
        <v>311.70057204654671</v>
      </c>
      <c r="I192">
        <f>I191+N191*dz.</f>
        <v>310.03469649609502</v>
      </c>
      <c r="J192">
        <f>(10^(AntA.-AntB./(AntC.+(H192-273.15)))*101325/760)</f>
        <v>6808.5503474086536</v>
      </c>
      <c r="K192">
        <f>(J192/(R.*H192)-G192)</f>
        <v>0.22465471925443614</v>
      </c>
      <c r="L192">
        <f>a.*kc./G.*K192</f>
        <v>0.19269414930530501</v>
      </c>
      <c r="M192">
        <f>a.*h./(L.*Cpw.)*(H192-I192)+a.*lambda.*kc./(L.*Cpw.)*K192</f>
        <v>1.1348736821639589</v>
      </c>
      <c r="N192">
        <f>a.*kc./G.*(H192-I192)</f>
        <v>1.4288792735274622</v>
      </c>
    </row>
    <row r="193" spans="5:14" x14ac:dyDescent="0.25">
      <c r="E193">
        <v>191</v>
      </c>
      <c r="F193">
        <f>dz.*E193</f>
        <v>4.3427905572032737</v>
      </c>
      <c r="G193">
        <f>G192+L192*dz.</f>
        <v>2.4070106689077506</v>
      </c>
      <c r="H193">
        <f>H192+M192*dz.</f>
        <v>311.72637580942899</v>
      </c>
      <c r="I193">
        <f>I192+N192*dz.</f>
        <v>310.06718510036967</v>
      </c>
      <c r="J193">
        <f>(10^(AntA.-AntB./(AntC.+(H193-273.15)))*101325/760)</f>
        <v>6818.0204629477948</v>
      </c>
      <c r="K193">
        <f>(J193/(R.*H193)-G193)</f>
        <v>0.22370995663806292</v>
      </c>
      <c r="L193">
        <f>a.*kc./G.*K193</f>
        <v>0.19188379362142863</v>
      </c>
      <c r="M193">
        <f>a.*h./(L.*Cpw.)*(H193-I193)+a.*lambda.*kc./(L.*Cpw.)*K193</f>
        <v>1.1301394169379197</v>
      </c>
      <c r="N193">
        <f>a.*kc./G.*(H193-I193)</f>
        <v>1.4231454530690328</v>
      </c>
    </row>
    <row r="194" spans="5:14" x14ac:dyDescent="0.25">
      <c r="E194">
        <v>192</v>
      </c>
      <c r="F194">
        <f>dz.*E194</f>
        <v>4.3655276805394161</v>
      </c>
      <c r="G194">
        <f>G193+L193*dz.</f>
        <v>2.4113735543895278</v>
      </c>
      <c r="H194">
        <f>H193+M193*dz.</f>
        <v>311.75207192873893</v>
      </c>
      <c r="I194">
        <f>I193+N193*dz.</f>
        <v>310.09954333406137</v>
      </c>
      <c r="J194">
        <f>(10^(AntA.-AntB./(AntC.+(H194-273.15)))*101325/760)</f>
        <v>6827.4623734247261</v>
      </c>
      <c r="K194">
        <f>(J194/(R.*H194)-G194)</f>
        <v>0.22277307785460021</v>
      </c>
      <c r="L194">
        <f>a.*kc./G.*K194</f>
        <v>0.19108020017464653</v>
      </c>
      <c r="M194">
        <f>a.*h./(L.*Cpw.)*(H194-I194)+a.*lambda.*kc./(L.*Cpw.)*K194</f>
        <v>1.1254407086949754</v>
      </c>
      <c r="N194">
        <f>a.*kc./G.*(H194-I194)</f>
        <v>1.4174311263563462</v>
      </c>
    </row>
    <row r="195" spans="5:14" x14ac:dyDescent="0.25">
      <c r="E195">
        <v>193</v>
      </c>
      <c r="F195">
        <f>dz.*E195</f>
        <v>4.3882648038755585</v>
      </c>
      <c r="G195">
        <f>G194+L194*dz.</f>
        <v>2.4157181684679938</v>
      </c>
      <c r="H195">
        <f>H194+M194*dz.</f>
        <v>311.77766121294002</v>
      </c>
      <c r="I195">
        <f>I194+N194*dz.</f>
        <v>310.13177164040184</v>
      </c>
      <c r="J195">
        <f>(10^(AntA.-AntB./(AntC.+(H195-273.15)))*101325/760)</f>
        <v>6836.8762458263518</v>
      </c>
      <c r="K195">
        <f>(J195/(R.*H195)-G195)</f>
        <v>0.2218439928867677</v>
      </c>
      <c r="L195">
        <f>a.*kc./G.*K195</f>
        <v>0.1902832917540134</v>
      </c>
      <c r="M195">
        <f>a.*h./(L.*Cpw.)*(H195-I195)+a.*lambda.*kc./(L.*Cpw.)*K195</f>
        <v>1.120777226085881</v>
      </c>
      <c r="N195">
        <f>a.*kc./G.*(H195-I195)</f>
        <v>1.4117366066613541</v>
      </c>
    </row>
    <row r="196" spans="5:14" x14ac:dyDescent="0.25">
      <c r="E196">
        <v>194</v>
      </c>
      <c r="F196">
        <f>dz.*E196</f>
        <v>4.4110019272117018</v>
      </c>
      <c r="G196">
        <f>G195+L195*dz.</f>
        <v>2.4200446631414119</v>
      </c>
      <c r="H196">
        <f>H195+M195*dz.</f>
        <v>311.80314446296188</v>
      </c>
      <c r="I196">
        <f>I195+N195*dz.</f>
        <v>310.16387046974563</v>
      </c>
      <c r="J196">
        <f>(10^(AntA.-AntB./(AntC.+(H196-273.15)))*101325/760)</f>
        <v>6846.2622460967123</v>
      </c>
      <c r="K196">
        <f>(J196/(R.*H196)-G196)</f>
        <v>0.2209226130563815</v>
      </c>
      <c r="L196">
        <f>a.*kc./G.*K196</f>
        <v>0.18949299229717334</v>
      </c>
      <c r="M196">
        <f>a.*h./(L.*Cpw.)*(H196-I196)+a.*lambda.*kc./(L.*Cpw.)*K196</f>
        <v>1.1161486415885717</v>
      </c>
      <c r="N196">
        <f>a.*kc./G.*(H196-I196)</f>
        <v>1.4060621946844687</v>
      </c>
    </row>
    <row r="197" spans="5:14" x14ac:dyDescent="0.25">
      <c r="E197">
        <v>195</v>
      </c>
      <c r="F197">
        <f>dz.*E197</f>
        <v>4.4337390505478442</v>
      </c>
      <c r="G197">
        <f>G196+L196*dz.</f>
        <v>2.4243531886786074</v>
      </c>
      <c r="H197">
        <f>H196+M196*dz.</f>
        <v>311.82852247228715</v>
      </c>
      <c r="I197">
        <f>I196+N196*dz.</f>
        <v>310.19584027928448</v>
      </c>
      <c r="J197">
        <f>(10^(AntA.-AntB./(AntC.+(H197-273.15)))*101325/760)</f>
        <v>6855.6205391439216</v>
      </c>
      <c r="K197">
        <f>(J197/(R.*H197)-G197)</f>
        <v>0.22000885100123835</v>
      </c>
      <c r="L197">
        <f>a.*kc./G.*K197</f>
        <v>0.18870922687053274</v>
      </c>
      <c r="M197">
        <f>a.*h./(L.*Cpw.)*(H197-I197)+a.*lambda.*kc./(L.*Cpw.)*K197</f>
        <v>1.1115546314563705</v>
      </c>
      <c r="N197">
        <f>a.*kc./G.*(H197-I197)</f>
        <v>1.4004081788740612</v>
      </c>
    </row>
    <row r="198" spans="5:14" x14ac:dyDescent="0.25">
      <c r="E198">
        <v>196</v>
      </c>
      <c r="F198">
        <f>dz.*E198</f>
        <v>4.4564761738839875</v>
      </c>
      <c r="G198">
        <f>G197+L197*dz.</f>
        <v>2.4286438936446308</v>
      </c>
      <c r="H198">
        <f>H197+M197*dz.</f>
        <v>311.85379602703745</v>
      </c>
      <c r="I198">
        <f>I197+N197*dz.</f>
        <v>310.22768153276849</v>
      </c>
      <c r="J198">
        <f>(10^(AntA.-AntB./(AntC.+(H198-273.15)))*101325/760)</f>
        <v>6864.9512888471963</v>
      </c>
      <c r="K198">
        <f>(J198/(R.*H198)-G198)</f>
        <v>0.2191026206524902</v>
      </c>
      <c r="L198">
        <f>a.*kc./G.*K198</f>
        <v>0.18793192164985362</v>
      </c>
      <c r="M198">
        <f>a.*h./(L.*Cpw.)*(H198-I198)+a.*lambda.*kc./(L.*Cpw.)*K198</f>
        <v>1.1069948756673249</v>
      </c>
      <c r="N198">
        <f>a.*kc./G.*(H198-I198)</f>
        <v>1.3947748357393848</v>
      </c>
    </row>
    <row r="199" spans="5:14" x14ac:dyDescent="0.25">
      <c r="E199">
        <v>197</v>
      </c>
      <c r="F199">
        <f>dz.*E199</f>
        <v>4.47921329722013</v>
      </c>
      <c r="G199">
        <f>G198+L198*dz.</f>
        <v>2.4329169249259821</v>
      </c>
      <c r="H199">
        <f>H198+M198*dz.</f>
        <v>311.878965906058</v>
      </c>
      <c r="I199">
        <f>I198+N198*dz.</f>
        <v>310.25939470023485</v>
      </c>
      <c r="J199">
        <f>(10^(AntA.-AntB./(AntC.+(H199-273.15)))*101325/760)</f>
        <v>6874.2546580638145</v>
      </c>
      <c r="K199">
        <f>(J199/(R.*H199)-G199)</f>
        <v>0.21820383721242109</v>
      </c>
      <c r="L199">
        <f>a.*kc./G.*K199</f>
        <v>0.18716100390119211</v>
      </c>
      <c r="M199">
        <f>a.*h./(L.*Cpw.)*(H199-I199)+a.*lambda.*kc./(L.*Cpw.)*K199</f>
        <v>1.1024690578741467</v>
      </c>
      <c r="N199">
        <f>a.*kc./G.*(H199-I199)</f>
        <v>1.3891624301557881</v>
      </c>
    </row>
    <row r="200" spans="5:14" x14ac:dyDescent="0.25">
      <c r="E200">
        <v>198</v>
      </c>
      <c r="F200">
        <f>dz.*E200</f>
        <v>4.5019504205562733</v>
      </c>
      <c r="G200">
        <f>G199+L199*dz.</f>
        <v>2.4371724277553999</v>
      </c>
      <c r="H200">
        <f>H199+M199*dz.</f>
        <v>311.90403288100117</v>
      </c>
      <c r="I200">
        <f>I199+N199*dz.</f>
        <v>310.29098025774323</v>
      </c>
      <c r="J200">
        <f>(10^(AntA.-AntB./(AntC.+(H200-273.15)))*101325/760)</f>
        <v>6883.5308086360519</v>
      </c>
      <c r="K200">
        <f>(J200/(R.*H200)-G200)</f>
        <v>0.2173124171326446</v>
      </c>
      <c r="L200">
        <f>a.*kc./G.*K200</f>
        <v>0.18639640196219764</v>
      </c>
      <c r="M200">
        <f>a.*h./(L.*Cpw.)*(H200-I200)+a.*lambda.*kc./(L.*Cpw.)*K200</f>
        <v>1.0979768653549913</v>
      </c>
      <c r="N200">
        <f>a.*kc./G.*(H200-I200)</f>
        <v>1.3835712156633997</v>
      </c>
    </row>
    <row r="201" spans="5:14" x14ac:dyDescent="0.25">
      <c r="E201">
        <v>199</v>
      </c>
      <c r="F201">
        <f>dz.*E201</f>
        <v>4.5246875438924157</v>
      </c>
      <c r="G201">
        <f>G200+L200*dz.</f>
        <v>2.4414105457362276</v>
      </c>
      <c r="H201">
        <f>H200+M200*dz.</f>
        <v>311.92899771640896</v>
      </c>
      <c r="I201">
        <f>I200+N200*dz.</f>
        <v>310.32243868711811</v>
      </c>
      <c r="J201">
        <f>(10^(AntA.-AntB./(AntC.+(H201-273.15)))*101325/760)</f>
        <v>6892.7799013980839</v>
      </c>
      <c r="K201">
        <f>(J201/(R.*H201)-G201)</f>
        <v>0.21642827809270537</v>
      </c>
      <c r="L201">
        <f>a.*kc./G.*K201</f>
        <v>0.18563804522375876</v>
      </c>
      <c r="M201">
        <f>a.*h./(L.*Cpw.)*(H201-I201)+a.*lambda.*kc./(L.*Cpw.)*K201</f>
        <v>1.0935179889649513</v>
      </c>
      <c r="N201">
        <f>a.*kc./G.*(H201-I201)</f>
        <v>1.3780014347588376</v>
      </c>
    </row>
    <row r="202" spans="5:14" x14ac:dyDescent="0.25">
      <c r="E202">
        <v>200</v>
      </c>
      <c r="F202">
        <f>dz.*E202</f>
        <v>4.5474246672285581</v>
      </c>
      <c r="G202">
        <f>G201+L201*dz.</f>
        <v>2.4456314208663605</v>
      </c>
      <c r="H202">
        <f>H201+M201*dz.</f>
        <v>311.95386116979432</v>
      </c>
      <c r="I202">
        <f>I201+N201*dz.</f>
        <v>310.35377047569762</v>
      </c>
      <c r="J202">
        <f>(10^(AntA.-AntB./(AntC.+(H202-273.15)))*101325/760)</f>
        <v>6902.0020961828859</v>
      </c>
      <c r="K202">
        <f>(J202/(R.*H202)-G202)</f>
        <v>0.21555133897909329</v>
      </c>
      <c r="L202">
        <f>a.*kc./G.*K202</f>
        <v>0.18488586411200278</v>
      </c>
      <c r="M202">
        <f>a.*h./(L.*Cpw.)*(H202-I202)+a.*lambda.*kc./(L.*Cpw.)*K202</f>
        <v>1.0890921230883657</v>
      </c>
      <c r="N202">
        <f>a.*kc./G.*(H202-I202)</f>
        <v>1.3724533191804364</v>
      </c>
    </row>
    <row r="203" spans="5:14" x14ac:dyDescent="0.25">
      <c r="E203">
        <v>201</v>
      </c>
      <c r="F203">
        <f>dz.*E203</f>
        <v>4.5701617905647014</v>
      </c>
      <c r="G203">
        <f>G202+L202*dz.</f>
        <v>2.4498351935617846</v>
      </c>
      <c r="H203">
        <f>H202+M202*dz.</f>
        <v>311.97862399172141</v>
      </c>
      <c r="I203">
        <f>I202+N202*dz.</f>
        <v>310.38497611608892</v>
      </c>
      <c r="J203">
        <f>(10^(AntA.-AntB./(AntC.+(H203-273.15)))*101325/760)</f>
        <v>6911.1975518290483</v>
      </c>
      <c r="K203">
        <f>(J203/(R.*H203)-G203)</f>
        <v>0.21468151986462702</v>
      </c>
      <c r="L203">
        <f>a.*kc./G.*K203</f>
        <v>0.18413979007061243</v>
      </c>
      <c r="M203">
        <f>a.*h./(L.*Cpw.)*(H203-I203)+a.*lambda.*kc./(L.*Cpw.)*K203</f>
        <v>1.0846989655917421</v>
      </c>
      <c r="N203">
        <f>a.*kc./G.*(H203-I203)</f>
        <v>1.3669270901868413</v>
      </c>
    </row>
    <row r="204" spans="5:14" x14ac:dyDescent="0.25">
      <c r="E204">
        <v>202</v>
      </c>
      <c r="F204">
        <f>dz.*E204</f>
        <v>4.5928989139008438</v>
      </c>
      <c r="G204">
        <f>G203+L203*dz.</f>
        <v>2.4540220026797117</v>
      </c>
      <c r="H204">
        <f>H203+M203*dz.</f>
        <v>312.00328692588465</v>
      </c>
      <c r="I204">
        <f>I203+N203*dz.</f>
        <v>310.41605610593001</v>
      </c>
      <c r="J204">
        <f>(10^(AntA.-AntB./(AntC.+(H204-273.15)))*101325/760)</f>
        <v>6920.3664261876074</v>
      </c>
      <c r="K204">
        <f>(J204/(R.*H204)-G204)</f>
        <v>0.2138187419882418</v>
      </c>
      <c r="L204">
        <f>a.*kc./G.*K204</f>
        <v>0.18339975554348908</v>
      </c>
      <c r="M204">
        <f>a.*h./(L.*Cpw.)*(H204-I204)+a.*lambda.*kc./(L.*Cpw.)*K204</f>
        <v>1.0803382177774756</v>
      </c>
      <c r="N204">
        <f>a.*kc./G.*(H204-I204)</f>
        <v>1.3614229588292162</v>
      </c>
    </row>
    <row r="205" spans="5:14" x14ac:dyDescent="0.25">
      <c r="E205">
        <v>203</v>
      </c>
      <c r="F205">
        <f>dz.*E205</f>
        <v>4.6156360372369871</v>
      </c>
      <c r="G205">
        <f>G204+L204*dz.</f>
        <v>2.4581919855413226</v>
      </c>
      <c r="H205">
        <f>H204+M204*dz.</f>
        <v>312.02785070918702</v>
      </c>
      <c r="I205">
        <f>I204+N204*dz.</f>
        <v>310.44701094765759</v>
      </c>
      <c r="J205">
        <f>(10^(AntA.-AntB./(AntC.+(H205-273.15)))*101325/760)</f>
        <v>6929.5088761288271</v>
      </c>
      <c r="K205">
        <f>(J205/(R.*H205)-G205)</f>
        <v>0.21296292773514613</v>
      </c>
      <c r="L205">
        <f>a.*kc./G.*K205</f>
        <v>0.18266569395773244</v>
      </c>
      <c r="M205">
        <f>a.*h./(L.*Cpw.)*(H205-I205)+a.*lambda.*kc./(L.*Cpw.)*K205</f>
        <v>1.0760095843382624</v>
      </c>
      <c r="N205">
        <f>a.*kc./G.*(H205-I205)</f>
        <v>1.3559411262174057</v>
      </c>
    </row>
    <row r="206" spans="5:14" x14ac:dyDescent="0.25">
      <c r="E206">
        <v>204</v>
      </c>
      <c r="F206">
        <f>dz.*E206</f>
        <v>4.6383731605731295</v>
      </c>
      <c r="G206">
        <f>G205+L205*dz.</f>
        <v>2.4623452779541215</v>
      </c>
      <c r="H206">
        <f>H205+M205*dz.</f>
        <v>312.05231607181702</v>
      </c>
      <c r="I206">
        <f>I205+N205*dz.</f>
        <v>310.47784114828096</v>
      </c>
      <c r="J206">
        <f>(10^(AntA.-AntB./(AntC.+(H206-273.15)))*101325/760)</f>
        <v>6938.6250575489721</v>
      </c>
      <c r="K206">
        <f>(J206/(R.*H206)-G206)</f>
        <v>0.21211400061735564</v>
      </c>
      <c r="L206">
        <f>a.*kc./G.*K206</f>
        <v>0.18193753970694382</v>
      </c>
      <c r="M206">
        <f>a.*h./(L.*Cpw.)*(H206-I206)+a.*lambda.*kc./(L.*Cpw.)*K206</f>
        <v>1.0717127733122251</v>
      </c>
      <c r="N206">
        <f>a.*kc./G.*(H206-I206)</f>
        <v>1.3504817837799554</v>
      </c>
    </row>
    <row r="207" spans="5:14" x14ac:dyDescent="0.25">
      <c r="E207">
        <v>205</v>
      </c>
      <c r="F207">
        <f>dz.*E207</f>
        <v>4.661110283909272</v>
      </c>
      <c r="G207">
        <f>G206+L206*dz.</f>
        <v>2.4664820142339128</v>
      </c>
      <c r="H207">
        <f>H206+M206*dz.</f>
        <v>312.07668373732474</v>
      </c>
      <c r="I207">
        <f>I206+N206*dz.</f>
        <v>310.50854721916198</v>
      </c>
      <c r="J207">
        <f>(10^(AntA.-AntB./(AntC.+(H207-273.15)))*101325/760)</f>
        <v>6947.7151253769753</v>
      </c>
      <c r="K207">
        <f>(J207/(R.*H207)-G207)</f>
        <v>0.2112718852545612</v>
      </c>
      <c r="L207">
        <f>a.*kc./G.*K207</f>
        <v>0.181215228134816</v>
      </c>
      <c r="M207">
        <f>a.*h./(L.*Cpw.)*(H207-I207)+a.*lambda.*kc./(L.*Cpw.)*K207</f>
        <v>1.0674474960385938</v>
      </c>
      <c r="N207">
        <f>a.*kc./G.*(H207-I207)</f>
        <v>1.3450451135180825</v>
      </c>
    </row>
    <row r="208" spans="5:14" x14ac:dyDescent="0.25">
      <c r="E208">
        <v>206</v>
      </c>
      <c r="F208">
        <f>dz.*E208</f>
        <v>4.6838474072454153</v>
      </c>
      <c r="G208">
        <f>G207+L207*dz.</f>
        <v>2.4706023272264015</v>
      </c>
      <c r="H208">
        <f>H207+M207*dz.</f>
        <v>312.10095442269704</v>
      </c>
      <c r="I208">
        <f>I207+N207*dz.</f>
        <v>310.53912967580072</v>
      </c>
      <c r="J208">
        <f>(10^(AntA.-AntB./(AntC.+(H208-273.15)))*101325/760)</f>
        <v>6956.7792335812273</v>
      </c>
      <c r="K208">
        <f>(J208/(R.*H208)-G208)</f>
        <v>0.21043650735541197</v>
      </c>
      <c r="L208">
        <f>a.*kc./G.*K208</f>
        <v>0.18049869551907913</v>
      </c>
      <c r="M208">
        <f>a.*h./(L.*Cpw.)*(H208-I208)+a.*lambda.*kc./(L.*Cpw.)*K208</f>
        <v>1.0632134671143234</v>
      </c>
      <c r="N208">
        <f>a.*kc./G.*(H208-I208)</f>
        <v>1.3396312882539947</v>
      </c>
    </row>
    <row r="209" spans="5:14" x14ac:dyDescent="0.25">
      <c r="E209">
        <v>207</v>
      </c>
      <c r="F209">
        <f>dz.*E209</f>
        <v>4.7065845305815577</v>
      </c>
      <c r="G209">
        <f>G208+L208*dz.</f>
        <v>2.4747063483284317</v>
      </c>
      <c r="H209">
        <f>H208+M208*dz.</f>
        <v>312.12512883843146</v>
      </c>
      <c r="I209">
        <f>I208+N208*dz.</f>
        <v>310.56958903762671</v>
      </c>
      <c r="J209">
        <f>(10^(AntA.-AntB./(AntC.+(H209-273.15)))*101325/760)</f>
        <v>6965.8175351761456</v>
      </c>
      <c r="K209">
        <f>(J209/(R.*H209)-G209)</f>
        <v>0.20960779369907501</v>
      </c>
      <c r="L209">
        <f>a.*kc./G.*K209</f>
        <v>0.17978787905568366</v>
      </c>
      <c r="M209">
        <f>a.*h./(L.*Cpw.)*(H209-I209)+a.*lambda.*kc./(L.*Cpw.)*K209</f>
        <v>1.0590104043510504</v>
      </c>
      <c r="N209">
        <f>a.*kc./G.*(H209-I209)</f>
        <v>1.3342404718733565</v>
      </c>
    </row>
    <row r="210" spans="5:14" x14ac:dyDescent="0.25">
      <c r="E210">
        <v>208</v>
      </c>
      <c r="F210">
        <f>dz.*E210</f>
        <v>4.729321653917701</v>
      </c>
      <c r="G210">
        <f>G209+L209*dz.</f>
        <v>2.4787942075088645</v>
      </c>
      <c r="H210">
        <f>H209+M209*dz.</f>
        <v>312.14920768860947</v>
      </c>
      <c r="I210">
        <f>I209+N209*dz.</f>
        <v>310.59992582779574</v>
      </c>
      <c r="J210">
        <f>(10^(AntA.-AntB./(AntC.+(H210-273.15)))*101325/760)</f>
        <v>6974.8301822288367</v>
      </c>
      <c r="K210">
        <f>(J210/(R.*H210)-G210)</f>
        <v>0.20878567211718169</v>
      </c>
      <c r="L210">
        <f>a.*kc./G.*K210</f>
        <v>0.17908271684331525</v>
      </c>
      <c r="M210">
        <f>a.*h./(L.*Cpw.)*(H210-I210)+a.*lambda.*kc./(L.*Cpw.)*K210</f>
        <v>1.0548380287329133</v>
      </c>
      <c r="N210">
        <f>a.*kc./G.*(H210-I210)</f>
        <v>1.3288728195623913</v>
      </c>
    </row>
    <row r="211" spans="5:14" x14ac:dyDescent="0.25">
      <c r="E211">
        <v>209</v>
      </c>
      <c r="F211">
        <f>dz.*E211</f>
        <v>4.7520587772538434</v>
      </c>
      <c r="G211">
        <f>G210+L210*dz.</f>
        <v>2.4828660333291026</v>
      </c>
      <c r="H211">
        <f>H210+M210*dz.</f>
        <v>312.17319167096844</v>
      </c>
      <c r="I211">
        <f>I210+N210*dz.</f>
        <v>310.63014057299216</v>
      </c>
      <c r="J211">
        <f>(10^(AntA.-AntB./(AntC.+(H211-273.15)))*101325/760)</f>
        <v>6983.8173258657125</v>
      </c>
      <c r="K211">
        <f>(J211/(R.*H211)-G211)</f>
        <v>0.2079700714761068</v>
      </c>
      <c r="L211">
        <f>a.*kc./G.*K211</f>
        <v>0.17838314786819484</v>
      </c>
      <c r="M211">
        <f>a.*h./(L.*Cpw.)*(H211-I211)+a.*lambda.*kc./(L.*Cpw.)*K211</f>
        <v>1.0506960643749574</v>
      </c>
      <c r="N211">
        <f>a.*kc./G.*(H211-I211)</f>
        <v>1.3235284780392331</v>
      </c>
    </row>
    <row r="212" spans="5:14" x14ac:dyDescent="0.25">
      <c r="E212">
        <v>210</v>
      </c>
      <c r="F212">
        <f>dz.*E212</f>
        <v>4.7747959005899867</v>
      </c>
      <c r="G212">
        <f>G211+L211*dz.</f>
        <v>2.4869219529632711</v>
      </c>
      <c r="H212">
        <f>H211+M211*dz.</f>
        <v>312.19708147697293</v>
      </c>
      <c r="I212">
        <f>I211+N211*dz.</f>
        <v>310.66023380323622</v>
      </c>
      <c r="J212">
        <f>(10^(AntA.-AntB./(AntC.+(H212-273.15)))*101325/760)</f>
        <v>6992.7791162789863</v>
      </c>
      <c r="K212">
        <f>(J212/(R.*H212)-G212)</f>
        <v>0.20716092165954159</v>
      </c>
      <c r="L212">
        <f>a.*kc./G.*K212</f>
        <v>0.17768911198913107</v>
      </c>
      <c r="M212">
        <f>a.*h./(L.*Cpw.)*(H212-I212)+a.*lambda.*kc./(L.*Cpw.)*K212</f>
        <v>1.0465842384820645</v>
      </c>
      <c r="N212">
        <f>a.*kc./G.*(H212-I212)</f>
        <v>1.3182075857802527</v>
      </c>
    </row>
    <row r="213" spans="5:14" x14ac:dyDescent="0.25">
      <c r="E213">
        <v>211</v>
      </c>
      <c r="F213">
        <f>dz.*E213</f>
        <v>4.7975330239261291</v>
      </c>
      <c r="G213">
        <f>G212+L212*dz.</f>
        <v>2.4909620922180578</v>
      </c>
      <c r="H213">
        <f>H212+M212*dz.</f>
        <v>312.22087779188496</v>
      </c>
      <c r="I213">
        <f>I212+N212*dz.</f>
        <v>310.69020605169675</v>
      </c>
      <c r="J213">
        <f>(10^(AntA.-AntB./(AntC.+(H213-273.15)))*101325/760)</f>
        <v>7001.7157027332896</v>
      </c>
      <c r="K213">
        <f>(J213/(R.*H213)-G213)</f>
        <v>0.20635815355144516</v>
      </c>
      <c r="L213">
        <f>a.*kc./G.*K213</f>
        <v>0.17700054992289699</v>
      </c>
      <c r="M213">
        <f>a.*h./(L.*Cpw.)*(H213-I213)+a.*lambda.*kc./(L.*Cpw.)*K213</f>
        <v>1.0425022813087184</v>
      </c>
      <c r="N213">
        <f>a.*kc./G.*(H213-I213)</f>
        <v>1.3129102732410727</v>
      </c>
    </row>
    <row r="214" spans="5:14" x14ac:dyDescent="0.25">
      <c r="E214">
        <v>212</v>
      </c>
      <c r="F214">
        <f>dz.*E214</f>
        <v>4.8202701472622715</v>
      </c>
      <c r="G214">
        <f>G213+L213*dz.</f>
        <v>2.4949865755522196</v>
      </c>
      <c r="H214">
        <f>H213+M213*dz.</f>
        <v>312.24458129483327</v>
      </c>
      <c r="I214">
        <f>I213+N213*dz.</f>
        <v>310.7200578545087</v>
      </c>
      <c r="J214">
        <f>(10^(AntA.-AntB./(AntC.+(H214-273.15)))*101325/760)</f>
        <v>7010.627233572086</v>
      </c>
      <c r="K214">
        <f>(J214/(R.*H214)-G214)</f>
        <v>0.20556169901925214</v>
      </c>
      <c r="L214">
        <f>a.*kc./G.*K214</f>
        <v>0.17631740322982678</v>
      </c>
      <c r="M214">
        <f>a.*h./(L.*Cpw.)*(H214-I214)+a.*lambda.*kc./(L.*Cpw.)*K214</f>
        <v>1.0384499261191193</v>
      </c>
      <c r="N214">
        <f>a.*kc./G.*(H214-I214)</f>
        <v>1.3076366630724114</v>
      </c>
    </row>
    <row r="215" spans="5:14" x14ac:dyDescent="0.25">
      <c r="E215">
        <v>213</v>
      </c>
      <c r="F215">
        <f>dz.*E215</f>
        <v>4.8430072705984148</v>
      </c>
      <c r="G215">
        <f>G214+L214*dz.</f>
        <v>2.4989955260957646</v>
      </c>
      <c r="H215">
        <f>H214+M214*dz.</f>
        <v>312.26819265888184</v>
      </c>
      <c r="I215">
        <f>I214+N214*dz.</f>
        <v>310.74978975059582</v>
      </c>
      <c r="J215">
        <f>(10^(AntA.-AntB./(AntC.+(H215-273.15)))*101325/760)</f>
        <v>7019.5138562241973</v>
      </c>
      <c r="K215">
        <f>(J215/(R.*H215)-G215)</f>
        <v>0.2047714908974374</v>
      </c>
      <c r="L215">
        <f>a.*kc./G.*K215</f>
        <v>0.17563961429971853</v>
      </c>
      <c r="M215">
        <f>a.*h./(L.*Cpw.)*(H215-I215)+a.*lambda.*kc./(L.*Cpw.)*K215</f>
        <v>1.0344269091480978</v>
      </c>
      <c r="N215">
        <f>a.*kc./G.*(H215-I215)</f>
        <v>1.3023868703310058</v>
      </c>
    </row>
    <row r="216" spans="5:14" x14ac:dyDescent="0.25">
      <c r="E216">
        <v>214</v>
      </c>
      <c r="F216">
        <f>dz.*E216</f>
        <v>4.8657443939345573</v>
      </c>
      <c r="G216">
        <f>G215+L215*dz.</f>
        <v>2.5029890656688099</v>
      </c>
      <c r="H216">
        <f>H215+M215*dz.</f>
        <v>312.29171255109736</v>
      </c>
      <c r="I216">
        <f>I215+N215*dz.</f>
        <v>310.77940228149794</v>
      </c>
      <c r="J216">
        <f>(10^(AntA.-AntB./(AntC.+(H216-273.15)))*101325/760)</f>
        <v>7028.3757172101823</v>
      </c>
      <c r="K216">
        <f>(J216/(R.*H216)-G216)</f>
        <v>0.2039874629713494</v>
      </c>
      <c r="L216">
        <f>a.*kc./G.*K216</f>
        <v>0.17496712633796765</v>
      </c>
      <c r="M216">
        <f>a.*h./(L.*Cpw.)*(H216-I216)+a.*lambda.*kc./(L.*Cpw.)*K216</f>
        <v>1.0304329695624623</v>
      </c>
      <c r="N216">
        <f>a.*kc./G.*(H216-I216)</f>
        <v>1.2971610026856057</v>
      </c>
    </row>
    <row r="217" spans="5:14" x14ac:dyDescent="0.25">
      <c r="E217">
        <v>215</v>
      </c>
      <c r="F217">
        <f>dz.*E217</f>
        <v>4.8884815172707006</v>
      </c>
      <c r="G217">
        <f>G216+L216*dz.</f>
        <v>2.5069673148001268</v>
      </c>
      <c r="H217">
        <f>H216+M216*dz.</f>
        <v>312.31514163261591</v>
      </c>
      <c r="I217">
        <f>I216+N216*dz.</f>
        <v>310.80889599120286</v>
      </c>
      <c r="J217">
        <f>(10^(AntA.-AntB./(AntC.+(H217-273.15)))*101325/760)</f>
        <v>7037.2129621487384</v>
      </c>
      <c r="K217">
        <f>(J217/(R.*H217)-G217)</f>
        <v>0.20320954996135443</v>
      </c>
      <c r="L217">
        <f>a.*kc./G.*K217</f>
        <v>0.17429988335196681</v>
      </c>
      <c r="M217">
        <f>a.*h./(L.*Cpw.)*(H217-I217)+a.*lambda.*kc./(L.*Cpw.)*K217</f>
        <v>1.0264678494229982</v>
      </c>
      <c r="N217">
        <f>a.*kc./G.*(H217-I217)</f>
        <v>1.2919591606183405</v>
      </c>
    </row>
    <row r="218" spans="5:14" x14ac:dyDescent="0.25">
      <c r="E218">
        <v>216</v>
      </c>
      <c r="F218">
        <f>dz.*E218</f>
        <v>4.911218640606843</v>
      </c>
      <c r="G218">
        <f>G217+L217*dz.</f>
        <v>2.5109303927453759</v>
      </c>
      <c r="H218">
        <f>H217+M217*dz.</f>
        <v>312.3384805587088</v>
      </c>
      <c r="I218">
        <f>I217+N217*dz.</f>
        <v>310.83827142598312</v>
      </c>
      <c r="J218">
        <f>(10^(AntA.-AntB./(AntC.+(H218-273.15)))*101325/760)</f>
        <v>7046.0257357630817</v>
      </c>
      <c r="K218">
        <f>(J218/(R.*H218)-G218)</f>
        <v>0.20243768750728774</v>
      </c>
      <c r="L218">
        <f>a.*kc./G.*K218</f>
        <v>0.17363783013776909</v>
      </c>
      <c r="M218">
        <f>a.*h./(L.*Cpw.)*(H218-I218)+a.*lambda.*kc./(L.*Cpw.)*K218</f>
        <v>1.0225312936470712</v>
      </c>
      <c r="N218">
        <f>a.*kc./G.*(H218-I218)</f>
        <v>1.2867814376212552</v>
      </c>
    </row>
    <row r="219" spans="5:14" x14ac:dyDescent="0.25">
      <c r="E219">
        <v>217</v>
      </c>
      <c r="F219">
        <f>dz.*E219</f>
        <v>4.9339557639429863</v>
      </c>
      <c r="G219">
        <f>G218+L218*dz.</f>
        <v>2.5148784175050385</v>
      </c>
      <c r="H219">
        <f>H218+M218*dz.</f>
        <v>312.36172997884751</v>
      </c>
      <c r="I219">
        <f>I218+N218*dz.</f>
        <v>310.86752913423697</v>
      </c>
      <c r="J219">
        <f>(10^(AntA.-AntB./(AntC.+(H219-273.15)))*101325/760)</f>
        <v>7054.8141818872773</v>
      </c>
      <c r="K219">
        <f>(J219/(R.*H219)-G219)</f>
        <v>0.2016718121531702</v>
      </c>
      <c r="L219">
        <f>a.*kc./G.*K219</f>
        <v>0.17298091226697895</v>
      </c>
      <c r="M219">
        <f>a.*h./(L.*Cpw.)*(H219-I219)+a.*lambda.*kc./(L.*Cpw.)*K219</f>
        <v>1.0186230499717115</v>
      </c>
      <c r="N219">
        <f>a.*kc./G.*(H219-I219)</f>
        <v>1.2816279203883638</v>
      </c>
    </row>
    <row r="220" spans="5:14" x14ac:dyDescent="0.25">
      <c r="E220">
        <v>218</v>
      </c>
      <c r="F220">
        <f>dz.*E220</f>
        <v>4.9566928872791287</v>
      </c>
      <c r="G220">
        <f>G219+L219*dz.</f>
        <v>2.5188115058420513</v>
      </c>
      <c r="H220">
        <f>H219+M219*dz.</f>
        <v>312.38489053676773</v>
      </c>
      <c r="I220">
        <f>I219+N219*dz.</f>
        <v>310.89666966633388</v>
      </c>
      <c r="J220">
        <f>(10^(AntA.-AntB./(AntC.+(H220-273.15)))*101325/760)</f>
        <v>7063.5784434724992</v>
      </c>
      <c r="K220">
        <f>(J220/(R.*H220)-G220)</f>
        <v>0.20091186133220829</v>
      </c>
      <c r="L220">
        <f>a.*kc./G.*K220</f>
        <v>0.17232907607388626</v>
      </c>
      <c r="M220">
        <f>a.*h./(L.*Cpw.)*(H220-I220)+a.*lambda.*kc./(L.*Cpw.)*K220</f>
        <v>1.0147428689172431</v>
      </c>
      <c r="N220">
        <f>a.*kc./G.*(H220-I220)</f>
        <v>1.2764986890031178</v>
      </c>
    </row>
    <row r="221" spans="5:14" x14ac:dyDescent="0.25">
      <c r="E221">
        <v>219</v>
      </c>
      <c r="F221">
        <f>dz.*E221</f>
        <v>4.9794300106152711</v>
      </c>
      <c r="G221">
        <f>G220+L220*dz.</f>
        <v>2.5227297732991469</v>
      </c>
      <c r="H221">
        <f>H220+M220*dz.</f>
        <v>312.40796287053274</v>
      </c>
      <c r="I221">
        <f>I220+N220*dz.</f>
        <v>310.92569357446416</v>
      </c>
      <c r="J221">
        <f>(10^(AntA.-AntB./(AntC.+(H221-273.15)))*101325/760)</f>
        <v>7072.3186625932831</v>
      </c>
      <c r="K221">
        <f>(J221/(R.*H221)-G221)</f>
        <v>0.20015777335206453</v>
      </c>
      <c r="L221">
        <f>a.*kc./G.*K221</f>
        <v>0.17168226864283206</v>
      </c>
      <c r="M221">
        <f>a.*h./(L.*Cpw.)*(H221-I221)+a.*lambda.*kc./(L.*Cpw.)*K221</f>
        <v>1.0108905037514579</v>
      </c>
      <c r="N221">
        <f>a.*kc./G.*(H221-I221)</f>
        <v>1.2713938171217307</v>
      </c>
    </row>
    <row r="222" spans="5:14" x14ac:dyDescent="0.25">
      <c r="E222">
        <v>220</v>
      </c>
      <c r="F222">
        <f>dz.*E222</f>
        <v>5.0021671339514144</v>
      </c>
      <c r="G222">
        <f>G221+L221*dz.</f>
        <v>2.5266333342159077</v>
      </c>
      <c r="H222">
        <f>H221+M221*dz.</f>
        <v>312.4309476125959</v>
      </c>
      <c r="I222">
        <f>I221+N221*dz.</f>
        <v>310.95460141249288</v>
      </c>
      <c r="J222">
        <f>(10^(AntA.-AntB./(AntC.+(H222-273.15)))*101325/760)</f>
        <v>7081.0349804538282</v>
      </c>
      <c r="K222">
        <f>(J222/(R.*H222)-G222)</f>
        <v>0.19940948738044062</v>
      </c>
      <c r="L222">
        <f>a.*kc./G.*K222</f>
        <v>0.17104043779584302</v>
      </c>
      <c r="M222">
        <f>a.*h./(L.*Cpw.)*(H222-I222)+a.*lambda.*kc./(L.*Cpw.)*K222</f>
        <v>1.0070657104544853</v>
      </c>
      <c r="N222">
        <f>a.*kc./G.*(H222-I222)</f>
        <v>1.2663133721521151</v>
      </c>
    </row>
    <row r="223" spans="5:14" x14ac:dyDescent="0.25">
      <c r="E223">
        <v>221</v>
      </c>
      <c r="F223">
        <f>dz.*E223</f>
        <v>5.0249042572875569</v>
      </c>
      <c r="G223">
        <f>G222+L222*dz.</f>
        <v>2.5305223017455396</v>
      </c>
      <c r="H223">
        <f>H222+M222*dz.</f>
        <v>312.45384538986212</v>
      </c>
      <c r="I223">
        <f>I222+N222*dz.</f>
        <v>310.98339373581769</v>
      </c>
      <c r="J223">
        <f>(10^(AntA.-AntB./(AntC.+(H223-273.15)))*101325/760)</f>
        <v>7089.7275373940356</v>
      </c>
      <c r="K223">
        <f>(J223/(R.*H223)-G223)</f>
        <v>0.19866694343083324</v>
      </c>
      <c r="L223">
        <f>a.*kc./G.*K223</f>
        <v>0.17040353208041337</v>
      </c>
      <c r="M223">
        <f>a.*h./(L.*Cpw.)*(H223-I223)+a.*lambda.*kc./(L.*Cpw.)*K223</f>
        <v>1.0032682476837804</v>
      </c>
      <c r="N223">
        <f>a.*kc./G.*(H223-I223)</f>
        <v>1.2612574154285285</v>
      </c>
    </row>
    <row r="224" spans="5:14" x14ac:dyDescent="0.25">
      <c r="E224">
        <v>222</v>
      </c>
      <c r="F224">
        <f>dz.*E224</f>
        <v>5.0476413806237002</v>
      </c>
      <c r="G224">
        <f>G223+L223*dz.</f>
        <v>2.5343967878713665</v>
      </c>
      <c r="H224">
        <f>H223+M223*dz.</f>
        <v>312.47665682374895</v>
      </c>
      <c r="I224">
        <f>I223+N223*dz.</f>
        <v>311.0120711012309</v>
      </c>
      <c r="J224">
        <f>(10^(AntA.-AntB./(AntC.+(H224-273.15)))*101325/760)</f>
        <v>7098.3964728957671</v>
      </c>
      <c r="K224">
        <f>(J224/(R.*H224)-G224)</f>
        <v>0.1979300823486434</v>
      </c>
      <c r="L224">
        <f>a.*kc./G.*K224</f>
        <v>0.16977150075759059</v>
      </c>
      <c r="M224">
        <f>a.*h./(L.*Cpw.)*(H224-I224)+a.*lambda.*kc./(L.*Cpw.)*K224</f>
        <v>0.99949787674003698</v>
      </c>
      <c r="N224">
        <f>a.*kc./G.*(H224-I224)</f>
        <v>1.2562260023822702</v>
      </c>
    </row>
    <row r="225" spans="5:14" x14ac:dyDescent="0.25">
      <c r="E225">
        <v>223</v>
      </c>
      <c r="F225">
        <f>dz.*E225</f>
        <v>5.0703785039598426</v>
      </c>
      <c r="G225">
        <f>G224+L224*dz.</f>
        <v>2.5382569034230538</v>
      </c>
      <c r="H225">
        <f>H224+M224*dz.</f>
        <v>312.49938253024658</v>
      </c>
      <c r="I225">
        <f>I224+N224*dz.</f>
        <v>311.04063406678512</v>
      </c>
      <c r="J225">
        <f>(10^(AntA.-AntB./(AntC.+(H225-273.15)))*101325/760)</f>
        <v>7107.0419255889692</v>
      </c>
      <c r="K225">
        <f>(J225/(R.*H225)-G225)</f>
        <v>0.19719884579751001</v>
      </c>
      <c r="L225">
        <f>a.*kc./G.*K225</f>
        <v>0.16914429379025328</v>
      </c>
      <c r="M225">
        <f>a.*h./(L.*Cpw.)*(H225-I225)+a.*lambda.*kc./(L.*Cpw.)*K225</f>
        <v>0.9957543615334834</v>
      </c>
      <c r="N225">
        <f>a.*kc./G.*(H225-I225)</f>
        <v>1.2512191827084287</v>
      </c>
    </row>
    <row r="226" spans="5:14" x14ac:dyDescent="0.25">
      <c r="E226">
        <v>224</v>
      </c>
      <c r="F226">
        <f>dz.*E226</f>
        <v>5.093115627295985</v>
      </c>
      <c r="G226">
        <f>G225+L225*dz.</f>
        <v>2.5421027580925677</v>
      </c>
      <c r="H226">
        <f>H225+M225*dz.</f>
        <v>312.52202311997729</v>
      </c>
      <c r="I226">
        <f>I225+N225*dz.</f>
        <v>311.06908319166291</v>
      </c>
      <c r="J226">
        <f>(10^(AntA.-AntB./(AntC.+(H226-273.15)))*101325/760)</f>
        <v>7115.6640332577235</v>
      </c>
      <c r="K226">
        <f>(J226/(R.*H226)-G226)</f>
        <v>0.19647317624586957</v>
      </c>
      <c r="L226">
        <f>a.*kc./G.*K226</f>
        <v>0.16852186183158274</v>
      </c>
      <c r="M226">
        <f>a.*h./(L.*Cpw.)*(H226-I226)+a.*lambda.*kc./(L.*Cpw.)*K226</f>
        <v>0.99203746855056352</v>
      </c>
      <c r="N226">
        <f>a.*kc./G.*(H226-I226)</f>
        <v>1.2462370005286307</v>
      </c>
    </row>
    <row r="227" spans="5:14" x14ac:dyDescent="0.25">
      <c r="E227">
        <v>225</v>
      </c>
      <c r="F227">
        <f>dz.*E227</f>
        <v>5.1158527506321283</v>
      </c>
      <c r="G227">
        <f>G226+L226*dz.</f>
        <v>2.5459344604498688</v>
      </c>
      <c r="H227">
        <f>H226+M226*dz.</f>
        <v>312.54457919825381</v>
      </c>
      <c r="I227">
        <f>I226+N226*dz.</f>
        <v>311.09741903604998</v>
      </c>
      <c r="J227">
        <f>(10^(AntA.-AntB./(AntC.+(H227-273.15)))*101325/760)</f>
        <v>7124.2629328462617</v>
      </c>
      <c r="K227">
        <f>(J227/(R.*H227)-G227)</f>
        <v>0.19575301695376801</v>
      </c>
      <c r="L227">
        <f>a.*kc./G.*K227</f>
        <v>0.16790415621375127</v>
      </c>
      <c r="M227">
        <f>a.*h./(L.*Cpw.)*(H227-I227)+a.*lambda.*kc./(L.*Cpw.)*K227</f>
        <v>0.98834696682112511</v>
      </c>
      <c r="N227">
        <f>a.*kc./G.*(H227-I227)</f>
        <v>1.2412794945498908</v>
      </c>
    </row>
    <row r="228" spans="5:14" x14ac:dyDescent="0.25">
      <c r="E228">
        <v>226</v>
      </c>
      <c r="F228">
        <f>dz.*E228</f>
        <v>5.1385898739682707</v>
      </c>
      <c r="G228">
        <f>G227+L227*dz.</f>
        <v>2.5497521179583518</v>
      </c>
      <c r="H228">
        <f>H227+M227*dz.</f>
        <v>312.56705136513733</v>
      </c>
      <c r="I228">
        <f>I227+N227*dz.</f>
        <v>311.12564216101219</v>
      </c>
      <c r="J228">
        <f>(10^(AntA.-AntB./(AntC.+(H228-273.15)))*101325/760)</f>
        <v>7132.8387604650225</v>
      </c>
      <c r="K228">
        <f>(J228/(R.*H228)-G228)</f>
        <v>0.19503831195993504</v>
      </c>
      <c r="L228">
        <f>a.*kc./G.*K228</f>
        <v>0.16729112893683515</v>
      </c>
      <c r="M228">
        <f>a.*h./(L.*Cpw.)*(H228-I228)+a.*lambda.*kc./(L.*Cpw.)*K228</f>
        <v>0.98468262788619898</v>
      </c>
      <c r="N228">
        <f>a.*kc./G.*(H228-I228)</f>
        <v>1.2363466982198521</v>
      </c>
    </row>
    <row r="229" spans="5:14" x14ac:dyDescent="0.25">
      <c r="E229">
        <v>227</v>
      </c>
      <c r="F229">
        <f>dz.*E229</f>
        <v>5.161326997304414</v>
      </c>
      <c r="G229">
        <f>G228+L228*dz.</f>
        <v>2.5535558369900313</v>
      </c>
      <c r="H229">
        <f>H228+M228*dz.</f>
        <v>312.58944021549456</v>
      </c>
      <c r="I229">
        <f>I228+N228*dz.</f>
        <v>311.15375312837585</v>
      </c>
      <c r="J229">
        <f>(10^(AntA.-AntB./(AntC.+(H229-273.15)))*101325/760)</f>
        <v>7141.3916513966142</v>
      </c>
      <c r="K229">
        <f>(J229/(R.*H229)-G229)</f>
        <v>0.19432900606907655</v>
      </c>
      <c r="L229">
        <f>a.*kc./G.*K229</f>
        <v>0.16668273265791514</v>
      </c>
      <c r="M229">
        <f>a.*h./(L.*Cpw.)*(H229-I229)+a.*lambda.*kc./(L.*Cpw.)*K229</f>
        <v>0.98104422576618378</v>
      </c>
      <c r="N229">
        <f>a.*kc./G.*(H229-I229)</f>
        <v>1.2314386398784187</v>
      </c>
    </row>
    <row r="230" spans="5:14" x14ac:dyDescent="0.25">
      <c r="E230">
        <v>228</v>
      </c>
      <c r="F230">
        <f>dz.*E230</f>
        <v>5.1840641206405564</v>
      </c>
      <c r="G230">
        <f>G229+L229*dz.</f>
        <v>2.5573457228404797</v>
      </c>
      <c r="H230">
        <f>H229+M229*dz.</f>
        <v>312.61174633905404</v>
      </c>
      <c r="I230">
        <f>I229+N229*dz.</f>
        <v>311.18175250061165</v>
      </c>
      <c r="J230">
        <f>(10^(AntA.-AntB./(AntC.+(H230-273.15)))*101325/760)</f>
        <v>7149.9217401017313</v>
      </c>
      <c r="K230">
        <f>(J230/(R.*H230)-G230)</f>
        <v>0.19362504483938903</v>
      </c>
      <c r="L230">
        <f>a.*kc./G.*K230</f>
        <v>0.16607892068036698</v>
      </c>
      <c r="M230">
        <f>a.*h./(L.*Cpw.)*(H230-I230)+a.*lambda.*kc./(L.*Cpw.)*K230</f>
        <v>0.97743153692942686</v>
      </c>
      <c r="N230">
        <f>a.*kc./G.*(H230-I230)</f>
        <v>1.2265553429055867</v>
      </c>
    </row>
    <row r="231" spans="5:14" x14ac:dyDescent="0.25">
      <c r="E231">
        <v>229</v>
      </c>
      <c r="F231">
        <f>dz.*E231</f>
        <v>5.2068012439766997</v>
      </c>
      <c r="G231">
        <f>G230+L230*dz.</f>
        <v>2.5611218797435225</v>
      </c>
      <c r="H231">
        <f>H230+M230*dz.</f>
        <v>312.63397032046186</v>
      </c>
      <c r="I231">
        <f>I230+N230*dz.</f>
        <v>311.20964084072187</v>
      </c>
      <c r="J231">
        <f>(10^(AntA.-AntB./(AntC.+(H231-273.15)))*101325/760)</f>
        <v>7158.4291602251305</v>
      </c>
      <c r="K231">
        <f>(J231/(R.*H231)-G231)</f>
        <v>0.19292637457034179</v>
      </c>
      <c r="L231">
        <f>a.*kc./G.*K231</f>
        <v>0.16547964694338177</v>
      </c>
      <c r="M231">
        <f>a.*h./(L.*Cpw.)*(H231-I231)+a.*lambda.*kc./(L.*Cpw.)*K231</f>
        <v>0.97384434026146349</v>
      </c>
      <c r="N231">
        <f>a.*kc./G.*(H231-I231)</f>
        <v>1.2216968258660061</v>
      </c>
    </row>
    <row r="232" spans="5:14" x14ac:dyDescent="0.25">
      <c r="E232">
        <v>230</v>
      </c>
      <c r="F232">
        <f>dz.*E232</f>
        <v>5.2295383673128422</v>
      </c>
      <c r="G232">
        <f>G231+L231*dz.</f>
        <v>2.5648844108856954</v>
      </c>
      <c r="H232">
        <f>H231+M231*dz.</f>
        <v>312.65611273933661</v>
      </c>
      <c r="I232">
        <f>I231+N231*dz.</f>
        <v>311.23741871213099</v>
      </c>
      <c r="J232">
        <f>(10^(AntA.-AntB./(AntC.+(H232-273.15)))*101325/760)</f>
        <v>7166.9140446013907</v>
      </c>
      <c r="K232">
        <f>(J232/(R.*H232)-G232)</f>
        <v>0.19223294229060484</v>
      </c>
      <c r="L232">
        <f>a.*kc./G.*K232</f>
        <v>0.16488486601161145</v>
      </c>
      <c r="M232">
        <f>a.*h./(L.*Cpw.)*(H232-I232)+a.*lambda.*kc./(L.*Cpw.)*K232</f>
        <v>0.97028241703436358</v>
      </c>
      <c r="N232">
        <f>a.*kc./G.*(H232-I232)</f>
        <v>1.2168631026499372</v>
      </c>
    </row>
    <row r="233" spans="5:14" x14ac:dyDescent="0.25">
      <c r="E233">
        <v>231</v>
      </c>
      <c r="F233">
        <f>dz.*E233</f>
        <v>5.2522754906489846</v>
      </c>
      <c r="G233">
        <f>G232+L232*dz.</f>
        <v>2.5686334184204647</v>
      </c>
      <c r="H233">
        <f>H232+M232*dz.</f>
        <v>312.67817417032359</v>
      </c>
      <c r="I233">
        <f>I232+N232*dz.</f>
        <v>311.26508667857917</v>
      </c>
      <c r="J233">
        <f>(10^(AntA.-AntB./(AntC.+(H233-273.15)))*101325/760)</f>
        <v>7175.3765252608291</v>
      </c>
      <c r="K233">
        <f>(J233/(R.*H233)-G233)</f>
        <v>0.19154469574627742</v>
      </c>
      <c r="L233">
        <f>a.*kc./G.*K233</f>
        <v>0.16429453306507191</v>
      </c>
      <c r="M233">
        <f>a.*h./(L.*Cpw.)*(H233-I233)+a.*lambda.*kc./(L.*Cpw.)*K233</f>
        <v>0.96674555087689273</v>
      </c>
      <c r="N233">
        <f>a.*kc./G.*(H233-I233)</f>
        <v>1.2120541826110847</v>
      </c>
    </row>
    <row r="234" spans="5:14" x14ac:dyDescent="0.25">
      <c r="E234">
        <v>232</v>
      </c>
      <c r="F234">
        <f>dz.*E234</f>
        <v>5.2750126139851279</v>
      </c>
      <c r="G234">
        <f>G233+L233*dz.</f>
        <v>2.5723690034822191</v>
      </c>
      <c r="H234">
        <f>H233+M233*dz.</f>
        <v>312.70015518314852</v>
      </c>
      <c r="I234">
        <f>I233+N233*dz.</f>
        <v>311.29264530401929</v>
      </c>
      <c r="J234">
        <f>(10^(AntA.-AntB./(AntC.+(H234-273.15)))*101325/760)</f>
        <v>7183.8167334353284</v>
      </c>
      <c r="K234">
        <f>(J234/(R.*H234)-G234)</f>
        <v>0.19086158338929637</v>
      </c>
      <c r="L234">
        <f>a.*kc./G.*K234</f>
        <v>0.16370860388920036</v>
      </c>
      <c r="M234">
        <f>a.*h./(L.*Cpw.)*(H234-I234)+a.*lambda.*kc./(L.*Cpw.)*K234</f>
        <v>0.96323352774494997</v>
      </c>
      <c r="N234">
        <f>a.*kc./G.*(H234-I234)</f>
        <v>1.2072700707010198</v>
      </c>
    </row>
    <row r="235" spans="5:14" x14ac:dyDescent="0.25">
      <c r="E235">
        <v>233</v>
      </c>
      <c r="F235">
        <f>dz.*E235</f>
        <v>5.2977497373212703</v>
      </c>
      <c r="G235">
        <f>G234+L234*dz.</f>
        <v>2.5760912662000357</v>
      </c>
      <c r="H235">
        <f>H234+M234*dz.</f>
        <v>312.72205634267038</v>
      </c>
      <c r="I235">
        <f>I234+N234*dz.</f>
        <v>311.32009515251684</v>
      </c>
      <c r="J235">
        <f>(10^(AntA.-AntB./(AntC.+(H235-273.15)))*101325/760)</f>
        <v>7192.2347995639875</v>
      </c>
      <c r="K235">
        <f>(J235/(R.*H235)-G235)</f>
        <v>0.19018355436601198</v>
      </c>
      <c r="L235">
        <f>a.*kc./G.*K235</f>
        <v>0.16312703486505661</v>
      </c>
      <c r="M235">
        <f>a.*h./(L.*Cpw.)*(H235-I235)+a.*lambda.*kc./(L.*Cpw.)*K235</f>
        <v>0.95974613589224522</v>
      </c>
      <c r="N235">
        <f>a.*kc./G.*(H235-I235)</f>
        <v>1.2025107676003355</v>
      </c>
    </row>
    <row r="236" spans="5:14" x14ac:dyDescent="0.25">
      <c r="E236">
        <v>234</v>
      </c>
      <c r="F236">
        <f>dz.*E236</f>
        <v>5.3204868606574136</v>
      </c>
      <c r="G236">
        <f>G235+L235*dz.</f>
        <v>2.5798003057112218</v>
      </c>
      <c r="H236">
        <f>H235+M235*dz.</f>
        <v>312.74387820893355</v>
      </c>
      <c r="I236">
        <f>I235+N235*dz.</f>
        <v>311.34743678815283</v>
      </c>
      <c r="J236">
        <f>(10^(AntA.-AntB./(AntC.+(H236-273.15)))*101325/760)</f>
        <v>7200.630853298946</v>
      </c>
      <c r="K236">
        <f>(J236/(R.*H236)-G236)</f>
        <v>0.1895105585060457</v>
      </c>
      <c r="L236">
        <f>a.*kc./G.*K236</f>
        <v>0.1625497829597658</v>
      </c>
      <c r="M236">
        <f>a.*h./(L.*Cpw.)*(H236-I236)+a.*lambda.*kc./(L.*Cpw.)*K236</f>
        <v>0.95628316584172013</v>
      </c>
      <c r="N236">
        <f>a.*kc./G.*(H236-I236)</f>
        <v>1.1977762698466814</v>
      </c>
    </row>
    <row r="237" spans="5:14" x14ac:dyDescent="0.25">
      <c r="E237">
        <v>235</v>
      </c>
      <c r="F237">
        <f>dz.*E237</f>
        <v>5.343223983993556</v>
      </c>
      <c r="G237">
        <f>G236+L236*dz.</f>
        <v>2.5834962201746414</v>
      </c>
      <c r="H237">
        <f>H236+M236*dz.</f>
        <v>312.76562133721956</v>
      </c>
      <c r="I237">
        <f>I236+N236*dz.</f>
        <v>311.37467077492943</v>
      </c>
      <c r="J237">
        <f>(10^(AntA.-AntB./(AntC.+(H237-273.15)))*101325/760)</f>
        <v>7209.0050235110239</v>
      </c>
      <c r="K237">
        <f>(J237/(R.*H237)-G237)</f>
        <v>0.18884254631128528</v>
      </c>
      <c r="L237">
        <f>a.*kc./G.*K237</f>
        <v>0.16197680571707923</v>
      </c>
      <c r="M237">
        <f>a.*h./(L.*Cpw.)*(H237-I237)+a.*lambda.*kc./(L.*Cpw.)*K237</f>
        <v>0.9528444103571565</v>
      </c>
      <c r="N237">
        <f>a.*kc./G.*(H237-I237)</f>
        <v>1.1930665699600678</v>
      </c>
    </row>
    <row r="238" spans="5:14" x14ac:dyDescent="0.25">
      <c r="E238">
        <v>236</v>
      </c>
      <c r="F238">
        <f>dz.*E238</f>
        <v>5.3659611073296993</v>
      </c>
      <c r="G238">
        <f>G237+L237*dz.</f>
        <v>2.5871791067838252</v>
      </c>
      <c r="H238">
        <f>H237+M237*dz.</f>
        <v>312.78728627809801</v>
      </c>
      <c r="I238">
        <f>I237+N237*dz.</f>
        <v>311.40179767667883</v>
      </c>
      <c r="J238">
        <f>(10^(AntA.-AntB./(AntC.+(H238-273.15)))*101325/760)</f>
        <v>7217.3574382954366</v>
      </c>
      <c r="K238">
        <f>(J238/(R.*H238)-G238)</f>
        <v>0.18817946894512838</v>
      </c>
      <c r="L238">
        <f>a.*kc./G.*K238</f>
        <v>0.16140806124814824</v>
      </c>
      <c r="M238">
        <f>a.*h./(L.*Cpw.)*(H238-I238)+a.*lambda.*kc./(L.*Cpw.)*K238</f>
        <v>0.9494296644153416</v>
      </c>
      <c r="N238">
        <f>a.*kc./G.*(H238-I238)</f>
        <v>1.1883816565647087</v>
      </c>
    </row>
    <row r="239" spans="5:14" x14ac:dyDescent="0.25">
      <c r="E239">
        <v>237</v>
      </c>
      <c r="F239">
        <f>dz.*E239</f>
        <v>5.3886982306658417</v>
      </c>
      <c r="G239">
        <f>G238+L238*dz.</f>
        <v>2.5908490617798723</v>
      </c>
      <c r="H239">
        <f>H238+M238*dz.</f>
        <v>312.80887357747679</v>
      </c>
      <c r="I239">
        <f>I238+N238*dz.</f>
        <v>311.42881805697454</v>
      </c>
      <c r="J239">
        <f>(10^(AntA.-AntB./(AntC.+(H239-273.15)))*101325/760)</f>
        <v>7225.6882249773207</v>
      </c>
      <c r="K239">
        <f>(J239/(R.*H239)-G239)</f>
        <v>0.18752127822185738</v>
      </c>
      <c r="L239">
        <f>a.*kc./G.*K239</f>
        <v>0.16084350822241053</v>
      </c>
      <c r="M239">
        <f>a.*h./(L.*Cpw.)*(H239-I239)+a.*lambda.*kc./(L.*Cpw.)*K239</f>
        <v>0.94603872517840393</v>
      </c>
      <c r="N239">
        <f>a.*kc./G.*(H239-I239)</f>
        <v>1.1837215145081823</v>
      </c>
    </row>
    <row r="240" spans="5:14" x14ac:dyDescent="0.25">
      <c r="E240">
        <v>238</v>
      </c>
      <c r="F240">
        <f>dz.*E240</f>
        <v>5.4114353540019842</v>
      </c>
      <c r="G240">
        <f>G239+L239*dz.</f>
        <v>2.5945061804641432</v>
      </c>
      <c r="H240">
        <f>H239+M239*dz.</f>
        <v>312.83038377665196</v>
      </c>
      <c r="I240">
        <f>I239+N239*dz.</f>
        <v>311.45573247904554</v>
      </c>
      <c r="J240">
        <f>(10^(AntA.-AntB./(AntC.+(H240-273.15)))*101325/760)</f>
        <v>7233.9975101174832</v>
      </c>
      <c r="K240">
        <f>(J240/(R.*H240)-G240)</f>
        <v>0.18686792659630447</v>
      </c>
      <c r="L240">
        <f>a.*kc./G.*K240</f>
        <v>0.16028310585872563</v>
      </c>
      <c r="M240">
        <f>a.*h./(L.*Cpw.)*(H240-I240)+a.*lambda.*kc./(L.*Cpw.)*K240</f>
        <v>0.94267139196697924</v>
      </c>
      <c r="N240">
        <f>a.*kc./G.*(H240-I240)</f>
        <v>1.1790861249778626</v>
      </c>
    </row>
    <row r="241" spans="5:14" x14ac:dyDescent="0.25">
      <c r="E241">
        <v>239</v>
      </c>
      <c r="F241">
        <f>dz.*E241</f>
        <v>5.4341724773381275</v>
      </c>
      <c r="G241">
        <f>G240+L240*dz.</f>
        <v>2.5981505572107531</v>
      </c>
      <c r="H241">
        <f>H240+M240*dz.</f>
        <v>312.85181741235658</v>
      </c>
      <c r="I241">
        <f>I240+N240*dz.</f>
        <v>311.48254150569312</v>
      </c>
      <c r="J241">
        <f>(10^(AntA.-AntB./(AntC.+(H241-273.15)))*101325/760)</f>
        <v>7242.2854195177724</v>
      </c>
      <c r="K241">
        <f>(J241/(R.*H241)-G241)</f>
        <v>0.18621936715356746</v>
      </c>
      <c r="L241">
        <f>a.*kc./G.*K241</f>
        <v>0.15972681391655374</v>
      </c>
      <c r="M241">
        <f>a.*h./(L.*Cpw.)*(H241-I241)+a.*lambda.*kc./(L.*Cpw.)*K241</f>
        <v>0.93932746623313856</v>
      </c>
      <c r="N241">
        <f>a.*kc./G.*(H241-I241)</f>
        <v>1.1744754656141312</v>
      </c>
    </row>
    <row r="242" spans="5:14" x14ac:dyDescent="0.25">
      <c r="E242">
        <v>240</v>
      </c>
      <c r="F242">
        <f>dz.*E242</f>
        <v>5.4569096006742699</v>
      </c>
      <c r="G242">
        <f>G241+L241*dz.</f>
        <v>2.6017822854788628</v>
      </c>
      <c r="H242">
        <f>H241+M241*dz.</f>
        <v>312.87317501680934</v>
      </c>
      <c r="I242">
        <f>I241+N241*dz.</f>
        <v>311.50924569921006</v>
      </c>
      <c r="J242">
        <f>(10^(AntA.-AntB./(AntC.+(H242-273.15)))*101325/760)</f>
        <v>7250.5520782266758</v>
      </c>
      <c r="K242">
        <f>(J242/(R.*H242)-G242)</f>
        <v>0.18557555359901468</v>
      </c>
      <c r="L242">
        <f>a.*kc./G.*K242</f>
        <v>0.15917459268738263</v>
      </c>
      <c r="M242">
        <f>a.*h./(L.*Cpw.)*(H242-I242)+a.*lambda.*kc./(L.*Cpw.)*K242</f>
        <v>0.93600675153421631</v>
      </c>
      <c r="N242">
        <f>a.*kc./G.*(H242-I242)</f>
        <v>1.1698895106213971</v>
      </c>
    </row>
    <row r="243" spans="5:14" x14ac:dyDescent="0.25">
      <c r="E243">
        <v>241</v>
      </c>
      <c r="F243">
        <f>dz.*E243</f>
        <v>5.4796467240104132</v>
      </c>
      <c r="G243">
        <f>G242+L242*dz.</f>
        <v>2.6054014578247759</v>
      </c>
      <c r="H243">
        <f>H242+M242*dz.</f>
        <v>312.89445711776244</v>
      </c>
      <c r="I243">
        <f>I242+N242*dz.</f>
        <v>311.53584562130271</v>
      </c>
      <c r="J243">
        <f>(10^(AntA.-AntB./(AntC.+(H243-273.15)))*101325/760)</f>
        <v>7258.7976105448543</v>
      </c>
      <c r="K243">
        <f>(J243/(R.*H243)-G243)</f>
        <v>0.18493644024845413</v>
      </c>
      <c r="L243">
        <f>a.*kc./G.*K243</f>
        <v>0.15862640298629538</v>
      </c>
      <c r="M243">
        <f>a.*h./(L.*Cpw.)*(H243-I243)+a.*lambda.*kc./(L.*Cpw.)*K243</f>
        <v>0.93270905350688604</v>
      </c>
      <c r="N243">
        <f>a.*kc./G.*(H243-I243)</f>
        <v>1.1653282308759936</v>
      </c>
    </row>
    <row r="244" spans="5:14" x14ac:dyDescent="0.25">
      <c r="E244">
        <v>242</v>
      </c>
      <c r="F244">
        <f>dz.*E244</f>
        <v>5.5023838473465556</v>
      </c>
      <c r="G244">
        <f>G243+L243*dz.</f>
        <v>2.6090081659138442</v>
      </c>
      <c r="H244">
        <f>H243+M243*dz.</f>
        <v>312.91566423854874</v>
      </c>
      <c r="I244">
        <f>I243+N243*dz.</f>
        <v>311.56234183301524</v>
      </c>
      <c r="J244">
        <f>(10^(AntA.-AntB./(AntC.+(H244-273.15)))*101325/760)</f>
        <v>7267.0221400305027</v>
      </c>
      <c r="K244">
        <f>(J244/(R.*H244)-G244)</f>
        <v>0.1843019820184284</v>
      </c>
      <c r="L244">
        <f>a.*kc./G.*K244</f>
        <v>0.15808220614364596</v>
      </c>
      <c r="M244">
        <f>a.*h./(L.*Cpw.)*(H244-I244)+a.*lambda.*kc./(L.*Cpw.)*K244</f>
        <v>0.92943417984142318</v>
      </c>
      <c r="N244">
        <f>a.*kc./G.*(H244-I244)</f>
        <v>1.1607915940316405</v>
      </c>
    </row>
    <row r="245" spans="5:14" x14ac:dyDescent="0.25">
      <c r="E245">
        <v>243</v>
      </c>
      <c r="F245">
        <f>dz.*E245</f>
        <v>5.5251209706826989</v>
      </c>
      <c r="G245">
        <f>G244+L244*dz.</f>
        <v>2.6126025005321818</v>
      </c>
      <c r="H245">
        <f>H244+M244*dz.</f>
        <v>312.93679689812865</v>
      </c>
      <c r="I245">
        <f>I244+N244*dz.</f>
        <v>311.58873489465628</v>
      </c>
      <c r="J245">
        <f>(10^(AntA.-AntB./(AntC.+(H245-273.15)))*101325/760)</f>
        <v>7275.2257895048606</v>
      </c>
      <c r="K245">
        <f>(J245/(R.*H245)-G245)</f>
        <v>0.18367213441674979</v>
      </c>
      <c r="L245">
        <f>a.*kc./G.*K245</f>
        <v>0.15754196399694087</v>
      </c>
      <c r="M245">
        <f>a.*h./(L.*Cpw.)*(H245-I245)+a.*lambda.*kc./(L.*Cpw.)*K245</f>
        <v>0.92618194025663203</v>
      </c>
      <c r="N245">
        <f>a.*kc./G.*(H245-I245)</f>
        <v>1.1562795646225132</v>
      </c>
    </row>
    <row r="246" spans="5:14" x14ac:dyDescent="0.25">
      <c r="E246">
        <v>244</v>
      </c>
      <c r="F246">
        <f>dz.*E246</f>
        <v>5.5478580940188413</v>
      </c>
      <c r="G246">
        <f>G245+L245*dz.</f>
        <v>2.6161845515981983</v>
      </c>
      <c r="H246">
        <f>H245+M245*dz.</f>
        <v>312.95785561113598</v>
      </c>
      <c r="I246">
        <f>I245+N245*dz.</f>
        <v>311.61502536572817</v>
      </c>
      <c r="J246">
        <f>(10^(AntA.-AntB./(AntC.+(H246-273.15)))*101325/760)</f>
        <v>7283.4086810574281</v>
      </c>
      <c r="K246">
        <f>(J246/(R.*H246)-G246)</f>
        <v>0.18304685353310868</v>
      </c>
      <c r="L246">
        <f>a.*kc./G.*K246</f>
        <v>0.15700563888278365</v>
      </c>
      <c r="M246">
        <f>a.*h./(L.*Cpw.)*(H246-I246)+a.*lambda.*kc./(L.*Cpw.)*K246</f>
        <v>0.92295214647466739</v>
      </c>
      <c r="N246">
        <f>a.*kc./G.*(H246-I246)</f>
        <v>1.151792104163343</v>
      </c>
    </row>
    <row r="247" spans="5:14" x14ac:dyDescent="0.25">
      <c r="E247">
        <v>245</v>
      </c>
      <c r="F247">
        <f>dz.*E247</f>
        <v>5.5705952173549838</v>
      </c>
      <c r="G247">
        <f>G246+L246*dz.</f>
        <v>2.6197544081739461</v>
      </c>
      <c r="H247">
        <f>H246+M246*dz.</f>
        <v>312.97884088792375</v>
      </c>
      <c r="I247">
        <f>I246+N246*dz.</f>
        <v>311.64121380485813</v>
      </c>
      <c r="J247">
        <f>(10^(AntA.-AntB./(AntC.+(H247-273.15)))*101325/760)</f>
        <v>7291.570936051522</v>
      </c>
      <c r="K247">
        <f>(J247/(R.*H247)-G247)</f>
        <v>0.18242609602998527</v>
      </c>
      <c r="L247">
        <f>a.*kc./G.*K247</f>
        <v>0.15647319362907955</v>
      </c>
      <c r="M247">
        <f>a.*h./(L.*Cpw.)*(H247-I247)+a.*lambda.*kc./(L.*Cpw.)*K247</f>
        <v>0.9197446121968591</v>
      </c>
      <c r="N247">
        <f>a.*kc./G.*(H247-I247)</f>
        <v>1.1473291712476581</v>
      </c>
    </row>
    <row r="248" spans="5:14" x14ac:dyDescent="0.25">
      <c r="E248">
        <v>246</v>
      </c>
      <c r="F248">
        <f>dz.*E248</f>
        <v>5.5933323406911271</v>
      </c>
      <c r="G248">
        <f>G247+L247*dz.</f>
        <v>2.6233121584762906</v>
      </c>
      <c r="H248">
        <f>H247+M247*dz.</f>
        <v>312.99975323460905</v>
      </c>
      <c r="I248">
        <f>I247+N247*dz.</f>
        <v>311.66730076973192</v>
      </c>
      <c r="J248">
        <f>(10^(AntA.-AntB./(AntC.+(H248-273.15)))*101325/760)</f>
        <v>7299.7126751293927</v>
      </c>
      <c r="K248">
        <f>(J248/(R.*H248)-G248)</f>
        <v>0.18180981913357996</v>
      </c>
      <c r="L248">
        <f>a.*kc./G.*K248</f>
        <v>0.15594459154725621</v>
      </c>
      <c r="M248">
        <f>a.*h./(L.*Cpw.)*(H248-I248)+a.*lambda.*kc./(L.*Cpw.)*K248</f>
        <v>0.91655915307922176</v>
      </c>
      <c r="N248">
        <f>a.*kc./G.*(H248-I248)</f>
        <v>1.1428907216432034</v>
      </c>
    </row>
    <row r="249" spans="5:14" x14ac:dyDescent="0.25">
      <c r="E249">
        <v>247</v>
      </c>
      <c r="F249">
        <f>dz.*E249</f>
        <v>5.6160694640272695</v>
      </c>
      <c r="G249">
        <f>G248+L248*dz.</f>
        <v>2.6268578898879049</v>
      </c>
      <c r="H249">
        <f>H248+M248*dz.</f>
        <v>313.02059315311749</v>
      </c>
      <c r="I249">
        <f>I248+N248*dz.</f>
        <v>311.69328681702967</v>
      </c>
      <c r="J249">
        <f>(10^(AntA.-AntB./(AntC.+(H249-273.15)))*101325/760)</f>
        <v>7307.8340182176153</v>
      </c>
      <c r="K249">
        <f>(J249/(R.*H249)-G249)</f>
        <v>0.18119798062501014</v>
      </c>
      <c r="L249">
        <f>a.*kc./G.*K249</f>
        <v>0.15541979642471279</v>
      </c>
      <c r="M249">
        <f>a.*h./(L.*Cpw.)*(H249-I249)+a.*lambda.*kc./(L.*Cpw.)*K249</f>
        <v>0.91339558670876819</v>
      </c>
      <c r="N249">
        <f>a.*kc./G.*(H249-I249)</f>
        <v>1.1384767083851608</v>
      </c>
    </row>
    <row r="250" spans="5:14" x14ac:dyDescent="0.25">
      <c r="E250">
        <v>248</v>
      </c>
      <c r="F250">
        <f>dz.*E250</f>
        <v>5.6388065873634128</v>
      </c>
      <c r="G250">
        <f>G249+L249*dz.</f>
        <v>2.6303916889680918</v>
      </c>
      <c r="H250">
        <f>H249+M249*dz.</f>
        <v>313.04136114122718</v>
      </c>
      <c r="I250">
        <f>I249+N249*dz.</f>
        <v>311.71917250236356</v>
      </c>
      <c r="J250">
        <f>(10^(AntA.-AntB./(AntC.+(H250-273.15)))*101325/760)</f>
        <v>7315.9350845323179</v>
      </c>
      <c r="K250">
        <f>(J250/(R.*H250)-G250)</f>
        <v>0.18059053883162202</v>
      </c>
      <c r="L250">
        <f>a.*kc./G.*K250</f>
        <v>0.15489877251736792</v>
      </c>
      <c r="M250">
        <f>a.*h./(L.*Cpw.)*(H250-I250)+a.*lambda.*kc./(L.*Cpw.)*K250</f>
        <v>0.91025373258000331</v>
      </c>
      <c r="N250">
        <f>a.*kc./G.*(H250-I250)</f>
        <v>1.134087081867228</v>
      </c>
    </row>
    <row r="251" spans="5:14" x14ac:dyDescent="0.25">
      <c r="E251">
        <v>249</v>
      </c>
      <c r="F251">
        <f>dz.*E251</f>
        <v>5.6615437106995552</v>
      </c>
      <c r="G251">
        <f>G250+L250*dz.</f>
        <v>2.6339136414634363</v>
      </c>
      <c r="H251">
        <f>H250+M250*dz.</f>
        <v>313.06205769261203</v>
      </c>
      <c r="I251">
        <f>I250+N250*dz.</f>
        <v>311.74495838021789</v>
      </c>
      <c r="J251">
        <f>(10^(AntA.-AntB./(AntC.+(H251-273.15)))*101325/760)</f>
        <v>7324.0159925843027</v>
      </c>
      <c r="K251">
        <f>(J251/(R.*H251)-G251)</f>
        <v>0.17998745261842553</v>
      </c>
      <c r="L251">
        <f>a.*kc./G.*K251</f>
        <v>0.15438148454231301</v>
      </c>
      <c r="M251">
        <f>a.*h./(L.*Cpw.)*(H251-I251)+a.*lambda.*kc./(L.*Cpw.)*K251</f>
        <v>0.90713341207158404</v>
      </c>
      <c r="N251">
        <f>a.*kc./G.*(H251-I251)</f>
        <v>1.1297217899302079</v>
      </c>
    </row>
    <row r="252" spans="5:14" x14ac:dyDescent="0.25">
      <c r="E252">
        <v>250</v>
      </c>
      <c r="F252">
        <f>dz.*E252</f>
        <v>5.6842808340356976</v>
      </c>
      <c r="G252">
        <f>G251+L251*dz.</f>
        <v>2.6374238323182917</v>
      </c>
      <c r="H252">
        <f>H251+M251*dz.</f>
        <v>313.08268329688462</v>
      </c>
      <c r="I252">
        <f>I251+N251*dz.</f>
        <v>311.77064500389105</v>
      </c>
      <c r="J252">
        <f>(10^(AntA.-AntB./(AntC.+(H252-273.15)))*101325/760)</f>
        <v>7332.0768601843374</v>
      </c>
      <c r="K252">
        <f>(J252/(R.*H252)-G252)</f>
        <v>0.17938868137976005</v>
      </c>
      <c r="L252">
        <f>a.*kc./G.*K252</f>
        <v>0.15386789767066375</v>
      </c>
      <c r="M252">
        <f>a.*h./(L.*Cpw.)*(H252-I252)+a.*lambda.*kc./(L.*Cpw.)*K252</f>
        <v>0.90403444842366287</v>
      </c>
      <c r="N252">
        <f>a.*kc./G.*(H252-I252)</f>
        <v>1.1253807779486011</v>
      </c>
    </row>
    <row r="253" spans="5:14" x14ac:dyDescent="0.25">
      <c r="E253">
        <v>251</v>
      </c>
      <c r="F253">
        <f>dz.*E253</f>
        <v>5.7070179573718409</v>
      </c>
      <c r="G253">
        <f>G252+L252*dz.</f>
        <v>2.6409223456851025</v>
      </c>
      <c r="H253">
        <f>H252+M252*dz.</f>
        <v>313.10323843963857</v>
      </c>
      <c r="I253">
        <f>I252+N252*dz.</f>
        <v>311.79623292543937</v>
      </c>
      <c r="J253">
        <f>(10^(AntA.-AntB./(AntC.+(H253-273.15)))*101325/760)</f>
        <v>7340.1178044482485</v>
      </c>
      <c r="K253">
        <f>(J253/(R.*H253)-G253)</f>
        <v>0.17879418503104239</v>
      </c>
      <c r="L253">
        <f>a.*kc./G.*K253</f>
        <v>0.153357977520482</v>
      </c>
      <c r="M253">
        <f>a.*h./(L.*Cpw.)*(H253-I253)+a.*lambda.*kc./(L.*Cpw.)*K253</f>
        <v>0.90095666671526853</v>
      </c>
      <c r="N253">
        <f>a.*kc./G.*(H253-I253)</f>
        <v>1.1210639889150036</v>
      </c>
    </row>
    <row r="254" spans="5:14" x14ac:dyDescent="0.25">
      <c r="E254">
        <v>252</v>
      </c>
      <c r="F254">
        <f>dz.*E254</f>
        <v>5.7297550807079833</v>
      </c>
      <c r="G254">
        <f>G253+L253*dz.</f>
        <v>2.6444092649345672</v>
      </c>
      <c r="H254">
        <f>H253+M253*dz.</f>
        <v>313.1237236024902</v>
      </c>
      <c r="I254">
        <f>I253+N253*dz.</f>
        <v>311.82172269562307</v>
      </c>
      <c r="J254">
        <f>(10^(AntA.-AntB./(AntC.+(H254-273.15)))*101325/760)</f>
        <v>7348.1389418019571</v>
      </c>
      <c r="K254">
        <f>(J254/(R.*H254)-G254)</f>
        <v>0.17820392400065321</v>
      </c>
      <c r="L254">
        <f>a.*kc./G.*K254</f>
        <v>0.15285169014981656</v>
      </c>
      <c r="M254">
        <f>a.*h./(L.*Cpw.)*(H254-I254)+a.*lambda.*kc./(L.*Cpw.)*K254</f>
        <v>0.89789989384195668</v>
      </c>
      <c r="N254">
        <f>a.*kc./G.*(H254-I254)</f>
        <v>1.11677136352231</v>
      </c>
    </row>
    <row r="255" spans="5:14" x14ac:dyDescent="0.25">
      <c r="E255">
        <v>253</v>
      </c>
      <c r="F255">
        <f>dz.*E255</f>
        <v>5.7524922040441266</v>
      </c>
      <c r="G255">
        <f>G254+L254*dz.</f>
        <v>2.6478846726656413</v>
      </c>
      <c r="H255">
        <f>H254+M254*dz.</f>
        <v>313.14413926312</v>
      </c>
      <c r="I255">
        <f>I254+N254*dz.</f>
        <v>311.84711486385373</v>
      </c>
      <c r="J255">
        <f>(10^(AntA.-AntB./(AntC.+(H255-273.15)))*101325/760)</f>
        <v>7356.140387986632</v>
      </c>
      <c r="K255">
        <f>(J255/(R.*H255)-G255)</f>
        <v>0.177617859222027</v>
      </c>
      <c r="L255">
        <f>a.*kc./G.*K255</f>
        <v>0.15234900204991833</v>
      </c>
      <c r="M255">
        <f>a.*h./(L.*Cpw.)*(H255-I255)+a.*lambda.*kc./(L.*Cpw.)*K255</f>
        <v>0.89486395849407918</v>
      </c>
      <c r="N255">
        <f>a.*kc./G.*(H255-I255)</f>
        <v>1.1125028402442592</v>
      </c>
    </row>
    <row r="256" spans="5:14" x14ac:dyDescent="0.25">
      <c r="E256">
        <v>254</v>
      </c>
      <c r="F256">
        <f>dz.*E256</f>
        <v>5.7752293273802691</v>
      </c>
      <c r="G256">
        <f>G255+L255*dz.</f>
        <v>2.6513486507153887</v>
      </c>
      <c r="H256">
        <f>H255+M255*dz.</f>
        <v>313.16448589531336</v>
      </c>
      <c r="I256">
        <f>I255+N255*dz.</f>
        <v>311.87240997814416</v>
      </c>
      <c r="J256">
        <f>(10^(AntA.-AntB./(AntC.+(H256-273.15)))*101325/760)</f>
        <v>7364.1222580637095</v>
      </c>
      <c r="K256">
        <f>(J256/(R.*H256)-G256)</f>
        <v>0.1770359521258329</v>
      </c>
      <c r="L256">
        <f>a.*kc./G.*K256</f>
        <v>0.15184988013853373</v>
      </c>
      <c r="M256">
        <f>a.*h./(L.*Cpw.)*(H256-I256)+a.*lambda.*kc./(L.*Cpw.)*K256</f>
        <v>0.89184869113507714</v>
      </c>
      <c r="N256">
        <f>a.*kc./G.*(H256-I256)</f>
        <v>1.1082583554134455</v>
      </c>
    </row>
    <row r="257" spans="5:14" x14ac:dyDescent="0.25">
      <c r="E257">
        <v>255</v>
      </c>
      <c r="F257">
        <f>dz.*E257</f>
        <v>5.7979664507164124</v>
      </c>
      <c r="G257">
        <f>G256+L256*dz.</f>
        <v>2.6548012801686771</v>
      </c>
      <c r="H257">
        <f>H256+M256*dz.</f>
        <v>313.18476396900087</v>
      </c>
      <c r="I257">
        <f>I256+N256*dz.</f>
        <v>311.89760858505952</v>
      </c>
      <c r="J257">
        <f>(10^(AntA.-AntB./(AntC.+(H257-273.15)))*101325/760)</f>
        <v>7372.0846664198652</v>
      </c>
      <c r="K257">
        <f>(J257/(R.*H257)-G257)</f>
        <v>0.17645816463230313</v>
      </c>
      <c r="L257">
        <f>a.*kc./G.*K257</f>
        <v>0.1513542917533244</v>
      </c>
      <c r="M257">
        <f>a.*h./(L.*Cpw.)*(H257-I257)+a.*lambda.*kc./(L.*Cpw.)*K257</f>
        <v>0.88885392398016616</v>
      </c>
      <c r="N257">
        <f>a.*kc./G.*(H257-I257)</f>
        <v>1.1040378432977198</v>
      </c>
    </row>
    <row r="258" spans="5:14" x14ac:dyDescent="0.25">
      <c r="E258">
        <v>256</v>
      </c>
      <c r="F258">
        <f>dz.*E258</f>
        <v>5.8207035740525548</v>
      </c>
      <c r="G258">
        <f>G257+L257*dz.</f>
        <v>2.6582426413677269</v>
      </c>
      <c r="H258">
        <f>H257+M257*dz.</f>
        <v>313.20497395029821</v>
      </c>
      <c r="I258">
        <f>I257+N257*dz.</f>
        <v>311.92271122967037</v>
      </c>
      <c r="J258">
        <f>(10^(AntA.-AntB./(AntC.+(H258-273.15)))*101325/760)</f>
        <v>7380.0277267720185</v>
      </c>
      <c r="K258">
        <f>(J258/(R.*H258)-G258)</f>
        <v>0.17588445914370521</v>
      </c>
      <c r="L258">
        <f>a.*kc./G.*K258</f>
        <v>0.15086220464541034</v>
      </c>
      <c r="M258">
        <f>a.*h./(L.*Cpw.)*(H258-I258)+a.*lambda.*kc./(L.*Cpw.)*K258</f>
        <v>0.88587949097536089</v>
      </c>
      <c r="N258">
        <f>a.*kc./G.*(H258-I258)</f>
        <v>1.0998412361747385</v>
      </c>
    </row>
    <row r="259" spans="5:14" x14ac:dyDescent="0.25">
      <c r="E259">
        <v>257</v>
      </c>
      <c r="F259">
        <f>dz.*E259</f>
        <v>5.8434406973886972</v>
      </c>
      <c r="G259">
        <f>G258+L258*dz.</f>
        <v>2.6616728139215122</v>
      </c>
      <c r="H259">
        <f>H258+M258*dz.</f>
        <v>313.22511630154548</v>
      </c>
      <c r="I259">
        <f>I258+N258*dz.</f>
        <v>311.94771845550747</v>
      </c>
      <c r="J259">
        <f>(10^(AntA.-AntB./(AntC.+(H259-273.15)))*101325/760)</f>
        <v>7387.9515521722415</v>
      </c>
      <c r="K259">
        <f>(J259/(R.*H259)-G259)</f>
        <v>0.17531479853693277</v>
      </c>
      <c r="L259">
        <f>a.*kc./G.*K259</f>
        <v>0.15037358697301489</v>
      </c>
      <c r="M259">
        <f>a.*h./(L.*Cpw.)*(H259-I259)+a.*lambda.*kc./(L.*Cpw.)*K259</f>
        <v>0.88292522777671056</v>
      </c>
      <c r="N259">
        <f>a.*kc./G.*(H259-I259)</f>
        <v>1.0956684644044641</v>
      </c>
    </row>
    <row r="260" spans="5:14" x14ac:dyDescent="0.25">
      <c r="E260">
        <v>258</v>
      </c>
      <c r="F260">
        <f>dz.*E260</f>
        <v>5.8661778207248405</v>
      </c>
      <c r="G260">
        <f>G259+L259*dz.</f>
        <v>2.665091876715016</v>
      </c>
      <c r="H260">
        <f>H259+M259*dz.</f>
        <v>313.24519148134601</v>
      </c>
      <c r="I260">
        <f>I259+N259*dz.</f>
        <v>311.97263080451813</v>
      </c>
      <c r="J260">
        <f>(10^(AntA.-AntB./(AntC.+(H260-273.15)))*101325/760)</f>
        <v>7395.8562550127008</v>
      </c>
      <c r="K260">
        <f>(J260/(R.*H260)-G260)</f>
        <v>0.17474914615625048</v>
      </c>
      <c r="L260">
        <f>a.*kc./G.*K260</f>
        <v>0.14988840729524169</v>
      </c>
      <c r="M260">
        <f>a.*h./(L.*Cpw.)*(H260-I260)+a.*lambda.*kc./(L.*Cpw.)*K260</f>
        <v>0.8799909717299228</v>
      </c>
      <c r="N260">
        <f>a.*kc./G.*(H260-I260)</f>
        <v>1.0915194564998629</v>
      </c>
    </row>
    <row r="261" spans="5:14" x14ac:dyDescent="0.25">
      <c r="E261">
        <v>259</v>
      </c>
      <c r="F261">
        <f>dz.*E261</f>
        <v>5.8889149440609829</v>
      </c>
      <c r="G261">
        <f>G260+L260*dz.</f>
        <v>2.668499907918346</v>
      </c>
      <c r="H261">
        <f>H260+M260*dz.</f>
        <v>313.26519994460494</v>
      </c>
      <c r="I261">
        <f>I260+N260*dz.</f>
        <v>311.99744881702435</v>
      </c>
      <c r="J261">
        <f>(10^(AntA.-AntB./(AntC.+(H261-273.15)))*101325/760)</f>
        <v>7403.741947030484</v>
      </c>
      <c r="K261">
        <f>(J261/(R.*H261)-G261)</f>
        <v>0.17418746580612643</v>
      </c>
      <c r="L261">
        <f>a.*kc./G.*K261</f>
        <v>0.1494066345659269</v>
      </c>
      <c r="M261">
        <f>a.*h./(L.*Cpw.)*(H261-I261)+a.*lambda.*kc./(L.*Cpw.)*K261</f>
        <v>0.87707656185012217</v>
      </c>
      <c r="N261">
        <f>a.*kc./G.*(H261-I261)</f>
        <v>1.0873941391959441</v>
      </c>
    </row>
    <row r="262" spans="5:14" x14ac:dyDescent="0.25">
      <c r="E262">
        <v>260</v>
      </c>
      <c r="F262">
        <f>dz.*E262</f>
        <v>5.9116520673971262</v>
      </c>
      <c r="G262">
        <f>G261+L261*dz.</f>
        <v>2.6718969849957097</v>
      </c>
      <c r="H262">
        <f>H261+M261*dz.</f>
        <v>313.285142142567</v>
      </c>
      <c r="I262">
        <f>I261+N261*dz.</f>
        <v>312.02217303168226</v>
      </c>
      <c r="J262">
        <f>(10^(AntA.-AntB./(AntC.+(H262-273.15)))*101325/760)</f>
        <v>7411.6087393124662</v>
      </c>
      <c r="K262">
        <f>(J262/(R.*H262)-G262)</f>
        <v>0.17362972174422842</v>
      </c>
      <c r="L262">
        <f>a.*kc./G.*K262</f>
        <v>0.14892823812763173</v>
      </c>
      <c r="M262">
        <f>a.*h./(L.*Cpw.)*(H262-I262)+a.*lambda.*kc./(L.*Cpw.)*K262</f>
        <v>0.87418183880202727</v>
      </c>
      <c r="N262">
        <f>a.*kc./G.*(H262-I262)</f>
        <v>1.0832924375168973</v>
      </c>
    </row>
    <row r="263" spans="5:14" x14ac:dyDescent="0.25">
      <c r="E263">
        <v>261</v>
      </c>
      <c r="F263">
        <f>dz.*E263</f>
        <v>5.9343891907332686</v>
      </c>
      <c r="G263">
        <f>G262+L262*dz.</f>
        <v>2.6752831847142522</v>
      </c>
      <c r="H263">
        <f>H262+M262*dz.</f>
        <v>313.30501852285403</v>
      </c>
      <c r="I263">
        <f>I262+N262*dz.</f>
        <v>312.0468039854432</v>
      </c>
      <c r="J263">
        <f>(10^(AntA.-AntB./(AntC.+(H263-273.15)))*101325/760)</f>
        <v>7419.4567423000517</v>
      </c>
      <c r="K263">
        <f>(J263/(R.*H263)-G263)</f>
        <v>0.17307587867450058</v>
      </c>
      <c r="L263">
        <f>a.*kc./G.*K263</f>
        <v>0.14845318770570412</v>
      </c>
      <c r="M263">
        <f>a.*h./(L.*Cpw.)*(H263-I263)+a.*lambda.*kc./(L.*Cpw.)*K263</f>
        <v>0.87130664488025034</v>
      </c>
      <c r="N263">
        <f>a.*kc./G.*(H263-I263)</f>
        <v>1.0792142748417191</v>
      </c>
    </row>
    <row r="264" spans="5:14" x14ac:dyDescent="0.25">
      <c r="E264">
        <v>262</v>
      </c>
      <c r="F264">
        <f>dz.*E264</f>
        <v>5.957126314069412</v>
      </c>
      <c r="G264">
        <f>G263+L263*dz.</f>
        <v>2.6786585831527603</v>
      </c>
      <c r="H264">
        <f>H263+M263*dz.</f>
        <v>313.32482952950227</v>
      </c>
      <c r="I264">
        <f>I263+N263*dz.</f>
        <v>312.0713422135164</v>
      </c>
      <c r="J264">
        <f>(10^(AntA.-AntB./(AntC.+(H264-273.15)))*101325/760)</f>
        <v>7427.2860657940591</v>
      </c>
      <c r="K264">
        <f>(J264/(R.*H264)-G264)</f>
        <v>0.17252590174042615</v>
      </c>
      <c r="L264">
        <f>a.*kc./G.*K264</f>
        <v>0.14798145340249999</v>
      </c>
      <c r="M264">
        <f>a.*h./(L.*Cpw.)*(H264-I264)+a.*lambda.*kc./(L.*Cpw.)*K264</f>
        <v>0.86845082399014206</v>
      </c>
      <c r="N264">
        <f>a.*kc./G.*(H264-I264)</f>
        <v>1.0751595729681815</v>
      </c>
    </row>
    <row r="265" spans="5:14" x14ac:dyDescent="0.25">
      <c r="E265">
        <v>263</v>
      </c>
      <c r="F265">
        <f>dz.*E265</f>
        <v>5.9798634374055544</v>
      </c>
      <c r="G265">
        <f>G264+L264*dz.</f>
        <v>2.6820232557102348</v>
      </c>
      <c r="H265">
        <f>H264+M264*dz.</f>
        <v>313.3445756029987</v>
      </c>
      <c r="I265">
        <f>I264+N264*dz.</f>
        <v>312.095788249333</v>
      </c>
      <c r="J265">
        <f>(10^(AntA.-AntB./(AntC.+(H265-273.15)))*101325/760)</f>
        <v>7435.0968189593714</v>
      </c>
      <c r="K265">
        <f>(J265/(R.*H265)-G265)</f>
        <v>0.17197975651833497</v>
      </c>
      <c r="L265">
        <f>a.*kc./G.*K265</f>
        <v>0.14751300569164275</v>
      </c>
      <c r="M265">
        <f>a.*h./(L.*Cpw.)*(H265-I265)+a.*lambda.*kc./(L.*Cpw.)*K265</f>
        <v>0.86561422162855228</v>
      </c>
      <c r="N265">
        <f>a.*kc./G.*(H265-I265)</f>
        <v>1.0711282521748513</v>
      </c>
    </row>
    <row r="266" spans="5:14" x14ac:dyDescent="0.25">
      <c r="E266">
        <v>264</v>
      </c>
      <c r="F266">
        <f>dz.*E266</f>
        <v>6.0026005607416968</v>
      </c>
      <c r="G266">
        <f>G265+L265*dz.</f>
        <v>2.6853772771143309</v>
      </c>
      <c r="H266">
        <f>H265+M265*dz.</f>
        <v>313.3642571803174</v>
      </c>
      <c r="I266">
        <f>I265+N265*dz.</f>
        <v>312.12014262451152</v>
      </c>
      <c r="J266">
        <f>(10^(AntA.-AntB./(AntC.+(H266-273.15)))*101325/760)</f>
        <v>7442.889110329681</v>
      </c>
      <c r="K266">
        <f>(J266/(R.*H266)-G266)</f>
        <v>0.17143740901087501</v>
      </c>
      <c r="L266">
        <f>a.*kc./G.*K266</f>
        <v>0.1470478154124237</v>
      </c>
      <c r="M266">
        <f>a.*h./(L.*Cpw.)*(H266-I266)+a.*lambda.*kc./(L.*Cpw.)*K266</f>
        <v>0.86279668486510186</v>
      </c>
      <c r="N266">
        <f>a.*kc./G.*(H266-I266)</f>
        <v>1.0671202312818873</v>
      </c>
    </row>
    <row r="267" spans="5:14" x14ac:dyDescent="0.25">
      <c r="E267">
        <v>265</v>
      </c>
      <c r="F267">
        <f>dz.*E267</f>
        <v>6.0253376840778401</v>
      </c>
      <c r="G267">
        <f>G266+L266*dz.</f>
        <v>2.6887207214296738</v>
      </c>
      <c r="H267">
        <f>H266+M266*dz.</f>
        <v>313.38387469495518</v>
      </c>
      <c r="I267">
        <f>I266+N266*dz.</f>
        <v>312.14440586882466</v>
      </c>
      <c r="J267">
        <f>(10^(AntA.-AntB./(AntC.+(H267-273.15)))*101325/760)</f>
        <v>7450.6630478121415</v>
      </c>
      <c r="K267">
        <f>(J267/(R.*H267)-G267)</f>
        <v>0.17089882564057124</v>
      </c>
      <c r="L267">
        <f>a.*kc./G.*K267</f>
        <v>0.14658585376427719</v>
      </c>
      <c r="M267">
        <f>a.*h./(L.*Cpw.)*(H267-I267)+a.*lambda.*kc./(L.*Cpw.)*K267</f>
        <v>0.85999806232358267</v>
      </c>
      <c r="N267">
        <f>a.*kc./G.*(H267-I267)</f>
        <v>1.0631354277101357</v>
      </c>
    </row>
    <row r="268" spans="5:14" x14ac:dyDescent="0.25">
      <c r="E268">
        <v>266</v>
      </c>
      <c r="F268">
        <f>dz.*E268</f>
        <v>6.0480748074139825</v>
      </c>
      <c r="G268">
        <f>G267+L267*dz.</f>
        <v>2.692053662066046</v>
      </c>
      <c r="H268">
        <f>H267+M267*dz.</f>
        <v>313.40342857696709</v>
      </c>
      <c r="I268">
        <f>I267+N267*dz.</f>
        <v>312.16857851016755</v>
      </c>
      <c r="J268">
        <f>(10^(AntA.-AntB./(AntC.+(H268-273.15)))*101325/760)</f>
        <v>7458.4187386920148</v>
      </c>
      <c r="K268">
        <f>(J268/(R.*H268)-G268)</f>
        <v>0.17036397324350583</v>
      </c>
      <c r="L268">
        <f>a.*kc./G.*K268</f>
        <v>0.14612709230135998</v>
      </c>
      <c r="M268">
        <f>a.*h./(L.*Cpw.)*(H268-I268)+a.*lambda.*kc./(L.*Cpw.)*K268</f>
        <v>0.85721820416365846</v>
      </c>
      <c r="N268">
        <f>a.*kc./G.*(H268-I268)</f>
        <v>1.0591737575387588</v>
      </c>
    </row>
    <row r="269" spans="5:14" x14ac:dyDescent="0.25">
      <c r="E269">
        <v>267</v>
      </c>
      <c r="F269">
        <f>dz.*E269</f>
        <v>6.0708119307501258</v>
      </c>
      <c r="G269">
        <f>G268+L268*dz.</f>
        <v>2.6953761717864539</v>
      </c>
      <c r="H269">
        <f>H268+M268*dz.</f>
        <v>313.42291925300117</v>
      </c>
      <c r="I269">
        <f>I268+N268*dz.</f>
        <v>312.19266107452711</v>
      </c>
      <c r="J269">
        <f>(10^(AntA.-AntB./(AntC.+(H269-273.15)))*101325/760)</f>
        <v>7466.1562896373334</v>
      </c>
      <c r="K269">
        <f>(J269/(R.*H269)-G269)</f>
        <v>0.16983281906313064</v>
      </c>
      <c r="L269">
        <f>a.*kc./G.*K269</f>
        <v>0.1456715029272439</v>
      </c>
      <c r="M269">
        <f>a.*h./(L.*Cpw.)*(H269-I269)+a.*lambda.*kc./(L.*Cpw.)*K269</f>
        <v>0.854456962062906</v>
      </c>
      <c r="N269">
        <f>a.*kc./G.*(H269-I269)</f>
        <v>1.055235135561355</v>
      </c>
    </row>
    <row r="270" spans="5:14" x14ac:dyDescent="0.25">
      <c r="E270">
        <v>268</v>
      </c>
      <c r="F270">
        <f>dz.*E270</f>
        <v>6.0935490540862682</v>
      </c>
      <c r="G270">
        <f>G269+L269*dz.</f>
        <v>2.6986883227150722</v>
      </c>
      <c r="H270">
        <f>H269+M269*dz.</f>
        <v>313.44234714633302</v>
      </c>
      <c r="I270">
        <f>I269+N269*dz.</f>
        <v>312.216654085953</v>
      </c>
      <c r="J270">
        <f>(10^(AntA.-AntB./(AntC.+(H270-273.15)))*101325/760)</f>
        <v>7473.8758067033659</v>
      </c>
      <c r="K270">
        <f>(J270/(R.*H270)-G270)</f>
        <v>0.16930533074411702</v>
      </c>
      <c r="L270">
        <f>a.*kc./G.*K270</f>
        <v>0.14521905788964068</v>
      </c>
      <c r="M270">
        <f>a.*h./(L.*Cpw.)*(H270-I270)+a.*lambda.*kc./(L.*Cpw.)*K270</f>
        <v>0.85171418919879538</v>
      </c>
      <c r="N270">
        <f>a.*kc./G.*(H270-I270)</f>
        <v>1.0513194753405157</v>
      </c>
    </row>
    <row r="271" spans="5:14" x14ac:dyDescent="0.25">
      <c r="E271">
        <v>269</v>
      </c>
      <c r="F271">
        <f>dz.*E271</f>
        <v>6.1162861774224107</v>
      </c>
      <c r="G271">
        <f>G270+L270*dz.</f>
        <v>2.7019901863450673</v>
      </c>
      <c r="H271">
        <f>H270+M270*dz.</f>
        <v>313.46171267689999</v>
      </c>
      <c r="I271">
        <f>I270+N270*dz.</f>
        <v>312.2405580665295</v>
      </c>
      <c r="J271">
        <f>(10^(AntA.-AntB./(AntC.+(H271-273.15)))*101325/760)</f>
        <v>7481.5773953372836</v>
      </c>
      <c r="K271">
        <f>(J271/(R.*H271)-G271)</f>
        <v>0.16878147632640639</v>
      </c>
      <c r="L271">
        <f>a.*kc./G.*K271</f>
        <v>0.14476972977529889</v>
      </c>
      <c r="M271">
        <f>a.*h./(L.*Cpw.)*(H271-I271)+a.*lambda.*kc./(L.*Cpw.)*K271</f>
        <v>0.84898974023134888</v>
      </c>
      <c r="N271">
        <f>a.*kc./G.*(H271-I271)</f>
        <v>1.0474266892612645</v>
      </c>
    </row>
    <row r="272" spans="5:14" x14ac:dyDescent="0.25">
      <c r="E272">
        <v>270</v>
      </c>
      <c r="F272">
        <f>dz.*E272</f>
        <v>6.139023300758554</v>
      </c>
      <c r="G272">
        <f>G271+L271*dz.</f>
        <v>2.7052818335463082</v>
      </c>
      <c r="H272">
        <f>H271+M271*dz.</f>
        <v>313.48101626133473</v>
      </c>
      <c r="I272">
        <f>I271+N271*dz.</f>
        <v>312.26437353634878</v>
      </c>
      <c r="J272">
        <f>(10^(AntA.-AntB./(AntC.+(H272-273.15)))*101325/760)</f>
        <v>7489.2611603825999</v>
      </c>
      <c r="K272">
        <f>(J272/(R.*H272)-G272)</f>
        <v>0.16826122423928425</v>
      </c>
      <c r="L272">
        <f>a.*kc./G.*K272</f>
        <v>0.1443234915049211</v>
      </c>
      <c r="M272">
        <f>a.*h./(L.*Cpw.)*(H272-I272)+a.*lambda.*kc./(L.*Cpw.)*K272</f>
        <v>0.8462834712856615</v>
      </c>
      <c r="N272">
        <f>a.*kc./G.*(H272-I272)</f>
        <v>1.0435566885827863</v>
      </c>
    </row>
    <row r="273" spans="5:14" x14ac:dyDescent="0.25">
      <c r="E273">
        <v>271</v>
      </c>
      <c r="F273">
        <f>dz.*E273</f>
        <v>6.1617604240946964</v>
      </c>
      <c r="G273">
        <f>G272+L272*dz.</f>
        <v>2.7085633345729585</v>
      </c>
      <c r="H273">
        <f>H272+M272*dz.</f>
        <v>313.50025831299871</v>
      </c>
      <c r="I273">
        <f>I272+N272*dz.</f>
        <v>312.28810101348535</v>
      </c>
      <c r="J273">
        <f>(10^(AntA.-AntB./(AntC.+(H273-273.15)))*101325/760)</f>
        <v>7496.9272060837466</v>
      </c>
      <c r="K273">
        <f>(J273/(R.*H273)-G273)</f>
        <v>0.16774454329561994</v>
      </c>
      <c r="L273">
        <f>a.*kc./G.*K273</f>
        <v>0.14388031632822296</v>
      </c>
      <c r="M273">
        <f>a.*h./(L.*Cpw.)*(H273-I273)+a.*lambda.*kc./(L.*Cpw.)*K273</f>
        <v>0.84359523993496144</v>
      </c>
      <c r="N273">
        <f>a.*kc./G.*(H273-I273)</f>
        <v>1.0397093834890867</v>
      </c>
    </row>
    <row r="274" spans="5:14" x14ac:dyDescent="0.25">
      <c r="E274">
        <v>272</v>
      </c>
      <c r="F274">
        <f>dz.*E274</f>
        <v>6.1844975474308397</v>
      </c>
      <c r="G274">
        <f>G273+L273*dz.</f>
        <v>2.7118347590709564</v>
      </c>
      <c r="H274">
        <f>H273+M273*dz.</f>
        <v>313.51943924201487</v>
      </c>
      <c r="I274">
        <f>I273+N273*dz.</f>
        <v>312.31174101397147</v>
      </c>
      <c r="J274">
        <f>(10^(AntA.-AntB./(AntC.+(H274-273.15)))*101325/760)</f>
        <v>7504.5756360903897</v>
      </c>
      <c r="K274">
        <f>(J274/(R.*H274)-G274)</f>
        <v>0.16723140268612502</v>
      </c>
      <c r="L274">
        <f>a.*kc./G.*K274</f>
        <v>0.14344017781900853</v>
      </c>
      <c r="M274">
        <f>a.*h./(L.*Cpw.)*(H274-I274)+a.*lambda.*kc./(L.*Cpw.)*K274</f>
        <v>0.84092490518352392</v>
      </c>
      <c r="N274">
        <f>a.*kc./G.*(H274-I274)</f>
        <v>1.0358846831380397</v>
      </c>
    </row>
    <row r="275" spans="5:14" x14ac:dyDescent="0.25">
      <c r="E275">
        <v>273</v>
      </c>
      <c r="F275">
        <f>dz.*E275</f>
        <v>6.2072346707669821</v>
      </c>
      <c r="G275">
        <f>G274+L274*dz.</f>
        <v>2.7150961760853853</v>
      </c>
      <c r="H275">
        <f>H274+M274*dz.</f>
        <v>313.53855945530046</v>
      </c>
      <c r="I275">
        <f>I274+N274*dz.</f>
        <v>312.33529405177399</v>
      </c>
      <c r="J275">
        <f>(10^(AntA.-AntB./(AntC.+(H275-273.15)))*101325/760)</f>
        <v>7512.2065534619687</v>
      </c>
      <c r="K275">
        <f>(J275/(R.*H275)-G275)</f>
        <v>0.16672177197379456</v>
      </c>
      <c r="L275">
        <f>a.*kc./G.*K275</f>
        <v>0.14300304987040244</v>
      </c>
      <c r="M275">
        <f>a.*h./(L.*Cpw.)*(H275-I275)+a.*lambda.*kc./(L.*Cpw.)*K275</f>
        <v>0.83827232745021885</v>
      </c>
      <c r="N275">
        <f>a.*kc./G.*(H275-I275)</f>
        <v>1.032082495709512</v>
      </c>
    </row>
    <row r="276" spans="5:14" x14ac:dyDescent="0.25">
      <c r="E276">
        <v>274</v>
      </c>
      <c r="F276">
        <f>dz.*E276</f>
        <v>6.2299717941031254</v>
      </c>
      <c r="G276">
        <f>G275+L275*dz.</f>
        <v>2.7183476540677334</v>
      </c>
      <c r="H276">
        <f>H275+M275*dz.</f>
        <v>313.55761935659899</v>
      </c>
      <c r="I276">
        <f>I275+N275*dz.</f>
        <v>312.35876063877203</v>
      </c>
      <c r="J276">
        <f>(10^(AntA.-AntB./(AntC.+(H276-273.15)))*101325/760)</f>
        <v>7519.8200606720584</v>
      </c>
      <c r="K276">
        <f>(J276/(R.*H276)-G276)</f>
        <v>0.16621562108839871</v>
      </c>
      <c r="L276">
        <f>a.*kc./G.*K276</f>
        <v>0.14256890669012487</v>
      </c>
      <c r="M276">
        <f>a.*h./(L.*Cpw.)*(H276-I276)+a.*lambda.*kc./(L.*Cpw.)*K276</f>
        <v>0.83563736855203608</v>
      </c>
      <c r="N276">
        <f>a.*kc./G.*(H276-I276)</f>
        <v>1.0283027284518267</v>
      </c>
    </row>
    <row r="277" spans="5:14" x14ac:dyDescent="0.25">
      <c r="E277">
        <v>275</v>
      </c>
      <c r="F277">
        <f>dz.*E277</f>
        <v>6.2527089174392678</v>
      </c>
      <c r="G277">
        <f>G276+L276*dz.</f>
        <v>2.7215892608830456</v>
      </c>
      <c r="H277">
        <f>H276+M276*dz.</f>
        <v>313.57661934651208</v>
      </c>
      <c r="I277">
        <f>I276+N276*dz.</f>
        <v>312.38214128473572</v>
      </c>
      <c r="J277">
        <f>(10^(AntA.-AntB./(AntC.+(H277-273.15)))*101325/760)</f>
        <v>7527.416259612688</v>
      </c>
      <c r="K277">
        <f>(J277/(R.*H277)-G277)</f>
        <v>0.16571292032106211</v>
      </c>
      <c r="L277">
        <f>a.*kc./G.*K277</f>
        <v>0.14213772279584247</v>
      </c>
      <c r="M277">
        <f>a.*h./(L.*Cpw.)*(H277-I277)+a.*lambda.*kc./(L.*Cpw.)*K277</f>
        <v>0.83301989168785506</v>
      </c>
      <c r="N277">
        <f>a.*kc./G.*(H277-I277)</f>
        <v>1.0245452877273513</v>
      </c>
    </row>
    <row r="278" spans="5:14" x14ac:dyDescent="0.25">
      <c r="E278">
        <v>276</v>
      </c>
      <c r="F278">
        <f>dz.*E278</f>
        <v>6.2754460407754102</v>
      </c>
      <c r="G278">
        <f>G277+L277*dz.</f>
        <v>2.724821063816973</v>
      </c>
      <c r="H278">
        <f>H277+M277*dz.</f>
        <v>313.59555982253084</v>
      </c>
      <c r="I278">
        <f>I277+N277*dz.</f>
        <v>312.40543649730625</v>
      </c>
      <c r="J278">
        <f>(10^(AntA.-AntB./(AntC.+(H278-273.15)))*101325/760)</f>
        <v>7534.995251598737</v>
      </c>
      <c r="K278">
        <f>(J278/(R.*H278)-G278)</f>
        <v>0.16521364031896768</v>
      </c>
      <c r="L278">
        <f>a.*kc./G.*K278</f>
        <v>0.14170947301062528</v>
      </c>
      <c r="M278">
        <f>a.*h./(L.*Cpw.)*(H278-I278)+a.*lambda.*kc./(L.*Cpw.)*K278</f>
        <v>0.83041976142252183</v>
      </c>
      <c r="N278">
        <f>a.*kc./G.*(H278-I278)</f>
        <v>1.0208100790565735</v>
      </c>
    </row>
    <row r="279" spans="5:14" x14ac:dyDescent="0.25">
      <c r="E279">
        <v>277</v>
      </c>
      <c r="F279">
        <f>dz.*E279</f>
        <v>6.2981831641115535</v>
      </c>
      <c r="G279">
        <f>G278+L278*dz.</f>
        <v>2.7280431295827152</v>
      </c>
      <c r="H279">
        <f>H278+M278*dz.</f>
        <v>313.61444117906706</v>
      </c>
      <c r="I279">
        <f>I278+N278*dz.</f>
        <v>312.42864678197657</v>
      </c>
      <c r="J279">
        <f>(10^(AntA.-AntB./(AntC.+(H279-273.15)))*101325/760)</f>
        <v>7542.5571373721768</v>
      </c>
      <c r="K279">
        <f>(J279/(R.*H279)-G279)</f>
        <v>0.16471775208011374</v>
      </c>
      <c r="L279">
        <f>a.*kc./G.*K279</f>
        <v>0.14128413245845001</v>
      </c>
      <c r="M279">
        <f>a.*h./(L.*Cpw.)*(H279-I279)+a.*lambda.*kc./(L.*Cpw.)*K279</f>
        <v>0.82783684367102528</v>
      </c>
      <c r="N279">
        <f>a.*kc./G.*(H279-I279)</f>
        <v>1.0170970071612997</v>
      </c>
    </row>
    <row r="280" spans="5:14" x14ac:dyDescent="0.25">
      <c r="E280">
        <v>278</v>
      </c>
      <c r="F280">
        <f>dz.*E280</f>
        <v>6.320920287447696</v>
      </c>
      <c r="G280">
        <f>G279+L279*dz.</f>
        <v>2.7312555243278629</v>
      </c>
      <c r="H280">
        <f>H279+M279*dz.</f>
        <v>313.63326380748379</v>
      </c>
      <c r="I280">
        <f>I279+N279*dz.</f>
        <v>312.45177264207319</v>
      </c>
      <c r="J280">
        <f>(10^(AntA.-AntB./(AntC.+(H280-273.15)))*101325/760)</f>
        <v>7550.1020171064238</v>
      </c>
      <c r="K280">
        <f>(J280/(R.*H280)-G280)</f>
        <v>0.16422522694821184</v>
      </c>
      <c r="L280">
        <f>a.*kc./G.*K280</f>
        <v>0.14086167655982348</v>
      </c>
      <c r="M280">
        <f>a.*h./(L.*Cpw.)*(H280-I280)+a.*lambda.*kc./(L.*Cpw.)*K280</f>
        <v>0.82527100568308442</v>
      </c>
      <c r="N280">
        <f>a.*kc./G.*(H280-I280)</f>
        <v>1.0134059760065854</v>
      </c>
    </row>
    <row r="281" spans="5:14" x14ac:dyDescent="0.25">
      <c r="E281">
        <v>279</v>
      </c>
      <c r="F281">
        <f>dz.*E281</f>
        <v>6.3436574107838393</v>
      </c>
      <c r="G281">
        <f>G280+L280*dz.</f>
        <v>2.7344583136411393</v>
      </c>
      <c r="H281">
        <f>H280+M280*dz.</f>
        <v>313.65202809612572</v>
      </c>
      <c r="I281">
        <f>I280+N280*dz.</f>
        <v>312.47481457873926</v>
      </c>
      <c r="J281">
        <f>(10^(AntA.-AntB./(AntC.+(H281-273.15)))*101325/760)</f>
        <v>7557.6299904104999</v>
      </c>
      <c r="K281">
        <f>(J281/(R.*H281)-G281)</f>
        <v>0.16373603660760372</v>
      </c>
      <c r="L281">
        <f>a.*kc./G.*K281</f>
        <v>0.14044208102742298</v>
      </c>
      <c r="M281">
        <f>a.*h./(L.*Cpw.)*(H281-I281)+a.*lambda.*kc./(L.*Cpw.)*K281</f>
        <v>0.82272211602762313</v>
      </c>
      <c r="N281">
        <f>a.*kc./G.*(H281-I281)</f>
        <v>1.0097368888413012</v>
      </c>
    </row>
    <row r="282" spans="5:14" x14ac:dyDescent="0.25">
      <c r="E282">
        <v>280</v>
      </c>
      <c r="F282">
        <f>dz.*E282</f>
        <v>6.3663945341199817</v>
      </c>
      <c r="G282">
        <f>G281+L281*dz.</f>
        <v>2.7376515625590443</v>
      </c>
      <c r="H282">
        <f>H281+M281*dz.</f>
        <v>313.67073443034923</v>
      </c>
      <c r="I282">
        <f>I281+N281*dz.</f>
        <v>312.49777309091792</v>
      </c>
      <c r="J282">
        <f>(10^(AntA.-AntB./(AntC.+(H282-273.15)))*101325/760)</f>
        <v>7565.1411563332904</v>
      </c>
      <c r="K282">
        <f>(J282/(R.*H282)-G282)</f>
        <v>0.16325015307832169</v>
      </c>
      <c r="L282">
        <f>a.*kc./G.*K282</f>
        <v>0.14002532186185912</v>
      </c>
      <c r="M282">
        <f>a.*h./(L.*Cpw.)*(H282-I282)+a.*lambda.*kc./(L.*Cpw.)*K282</f>
        <v>0.82019004457776379</v>
      </c>
      <c r="N282">
        <f>a.*kc./G.*(H282-I282)</f>
        <v>1.0060896482381123</v>
      </c>
    </row>
    <row r="283" spans="5:14" x14ac:dyDescent="0.25">
      <c r="E283">
        <v>281</v>
      </c>
      <c r="F283">
        <f>dz.*E283</f>
        <v>6.389131657456125</v>
      </c>
      <c r="G283">
        <f>G282+L282*dz.</f>
        <v>2.7408353355724007</v>
      </c>
      <c r="H283">
        <f>H282+M282*dz.</f>
        <v>313.68938319255187</v>
      </c>
      <c r="I283">
        <f>I282+N282*dz.</f>
        <v>312.5206486753371</v>
      </c>
      <c r="J283">
        <f>(10^(AntA.-AntB./(AntC.+(H283-273.15)))*101325/760)</f>
        <v>7572.6356133677082</v>
      </c>
      <c r="K283">
        <f>(J283/(R.*H283)-G283)</f>
        <v>0.16276754871120014</v>
      </c>
      <c r="L283">
        <f>a.*kc./G.*K283</f>
        <v>0.13961137534748302</v>
      </c>
      <c r="M283">
        <f>a.*h./(L.*Cpw.)*(H283-I283)+a.*lambda.*kc./(L.*Cpw.)*K283</f>
        <v>0.81767466249581333</v>
      </c>
      <c r="N283">
        <f>a.*kc./G.*(H283-I283)</f>
        <v>1.0024641561318992</v>
      </c>
    </row>
    <row r="284" spans="5:14" x14ac:dyDescent="0.25">
      <c r="E284">
        <v>282</v>
      </c>
      <c r="F284">
        <f>dz.*E284</f>
        <v>6.4118687807922674</v>
      </c>
      <c r="G284">
        <f>G283+L283*dz.</f>
        <v>2.7440096966328049</v>
      </c>
      <c r="H284">
        <f>H283+M283*dz.</f>
        <v>313.7079747622019</v>
      </c>
      <c r="I284">
        <f>I283+N283*dz.</f>
        <v>312.54344182649515</v>
      </c>
      <c r="J284">
        <f>(10^(AntA.-AntB./(AntC.+(H284-273.15)))*101325/760)</f>
        <v>7580.1134594548448</v>
      </c>
      <c r="K284">
        <f>(J284/(R.*H284)-G284)</f>
        <v>0.16228819618308199</v>
      </c>
      <c r="L284">
        <f>a.*kc./G.*K284</f>
        <v>0.13920021804827465</v>
      </c>
      <c r="M284">
        <f>a.*h./(L.*Cpw.)*(H284-I284)+a.*lambda.*kc./(L.*Cpw.)*K284</f>
        <v>0.81517584221853157</v>
      </c>
      <c r="N284">
        <f>a.*kc./G.*(H284-I284)</f>
        <v>0.99886031385734919</v>
      </c>
    </row>
    <row r="285" spans="5:14" x14ac:dyDescent="0.25">
      <c r="E285">
        <v>283</v>
      </c>
      <c r="F285">
        <f>dz.*E285</f>
        <v>6.4346059041284098</v>
      </c>
      <c r="G285">
        <f>G284+L284*dz.</f>
        <v>2.7471747091589864</v>
      </c>
      <c r="H285">
        <f>H284+M284*dz.</f>
        <v>313.72650951586706</v>
      </c>
      <c r="I285">
        <f>I284+N284*dz.</f>
        <v>312.56615303664688</v>
      </c>
      <c r="J285">
        <f>(10^(AntA.-AntB./(AntC.+(H285-273.15)))*101325/760)</f>
        <v>7587.5747919881014</v>
      </c>
      <c r="K285">
        <f>(J285/(R.*H285)-G285)</f>
        <v>0.16181206849210428</v>
      </c>
      <c r="L285">
        <f>a.*kc./G.*K285</f>
        <v>0.13879182680379898</v>
      </c>
      <c r="M285">
        <f>a.*h./(L.*Cpw.)*(H285-I285)+a.*lambda.*kc./(L.*Cpw.)*K285</f>
        <v>0.8126934574426059</v>
      </c>
      <c r="N285">
        <f>a.*kc./G.*(H285-I285)</f>
        <v>0.99527802218566996</v>
      </c>
    </row>
    <row r="286" spans="5:14" x14ac:dyDescent="0.25">
      <c r="E286">
        <v>284</v>
      </c>
      <c r="F286">
        <f>dz.*E286</f>
        <v>6.4573430274645531</v>
      </c>
      <c r="G286">
        <f>G285+L285*dz.</f>
        <v>2.7503304360430731</v>
      </c>
      <c r="H286">
        <f>H285+M285*dz.</f>
        <v>313.74498782724339</v>
      </c>
      <c r="I286">
        <f>I285+N285*dz.</f>
        <v>312.58878279579108</v>
      </c>
      <c r="J286">
        <f>(10^(AntA.-AntB./(AntC.+(H286-273.15)))*101325/760)</f>
        <v>7595.0197078172741</v>
      </c>
      <c r="K286">
        <f>(J286/(R.*H286)-G286)</f>
        <v>0.16133913895306273</v>
      </c>
      <c r="L286">
        <f>a.*kc./G.*K286</f>
        <v>0.13838617872523024</v>
      </c>
      <c r="M286">
        <f>a.*h./(L.*Cpw.)*(H286-I286)+a.*lambda.*kc./(L.*Cpw.)*K286</f>
        <v>0.81022738311026588</v>
      </c>
      <c r="N286">
        <f>a.*kc./G.*(H286-I286)</f>
        <v>0.99171718135993758</v>
      </c>
    </row>
    <row r="287" spans="5:14" x14ac:dyDescent="0.25">
      <c r="E287">
        <v>285</v>
      </c>
      <c r="F287">
        <f>dz.*E287</f>
        <v>6.4800801508006955</v>
      </c>
      <c r="G287">
        <f>G286+L286*dz.</f>
        <v>2.7534769396567662</v>
      </c>
      <c r="H287">
        <f>H286+M286*dz.</f>
        <v>313.76341006718349</v>
      </c>
      <c r="I287">
        <f>I286+N286*dz.</f>
        <v>312.61133159165826</v>
      </c>
      <c r="J287">
        <f>(10^(AntA.-AntB./(AntC.+(H287-273.15)))*101325/760)</f>
        <v>7602.4483032527078</v>
      </c>
      <c r="K287">
        <f>(J287/(R.*H287)-G287)</f>
        <v>0.16086938119288607</v>
      </c>
      <c r="L287">
        <f>a.*kc./G.*K287</f>
        <v>0.13798325119146992</v>
      </c>
      <c r="M287">
        <f>a.*h./(L.*Cpw.)*(H287-I287)+a.*lambda.*kc./(L.*Cpw.)*K287</f>
        <v>0.80777749539527854</v>
      </c>
      <c r="N287">
        <f>a.*kc./G.*(H287-I287)</f>
        <v>0.98817769112990961</v>
      </c>
    </row>
    <row r="288" spans="5:14" x14ac:dyDescent="0.25">
      <c r="E288">
        <v>286</v>
      </c>
      <c r="F288">
        <f>dz.*E288</f>
        <v>6.5028172741368389</v>
      </c>
      <c r="G288">
        <f>G287+L287*dz.</f>
        <v>2.7566142818574288</v>
      </c>
      <c r="H288">
        <f>H287+M287*dz.</f>
        <v>313.78177660372444</v>
      </c>
      <c r="I288">
        <f>I287+N287*dz.</f>
        <v>312.63379990969952</v>
      </c>
      <c r="J288">
        <f>(10^(AntA.-AntB./(AntC.+(H288-273.15)))*101325/760)</f>
        <v>7609.8606740691475</v>
      </c>
      <c r="K288">
        <f>(J288/(R.*H288)-G288)</f>
        <v>0.16040276914608409</v>
      </c>
      <c r="L288">
        <f>a.*kc./G.*K288</f>
        <v>0.13758302184524246</v>
      </c>
      <c r="M288">
        <f>a.*h./(L.*Cpw.)*(H288-I288)+a.*lambda.*kc./(L.*Cpw.)*K288</f>
        <v>0.80534367168865295</v>
      </c>
      <c r="N288">
        <f>a.*kc./G.*(H288-I288)</f>
        <v>0.98465945078551986</v>
      </c>
    </row>
    <row r="289" spans="5:14" x14ac:dyDescent="0.25">
      <c r="E289">
        <v>287</v>
      </c>
      <c r="F289">
        <f>dz.*E289</f>
        <v>6.5255543974729813</v>
      </c>
      <c r="G289">
        <f>G288+L288*dz.</f>
        <v>2.7597425239940834</v>
      </c>
      <c r="H289">
        <f>H288+M288*dz.</f>
        <v>313.80008780211563</v>
      </c>
      <c r="I289">
        <f>I288+N288*dz.</f>
        <v>312.65618823307614</v>
      </c>
      <c r="J289">
        <f>(10^(AntA.-AntB./(AntC.+(H289-273.15)))*101325/760)</f>
        <v>7617.2569155099754</v>
      </c>
      <c r="K289">
        <f>(J289/(R.*H289)-G289)</f>
        <v>0.15993927705043243</v>
      </c>
      <c r="L289">
        <f>a.*kc./G.*K289</f>
        <v>0.13718546858939398</v>
      </c>
      <c r="M289">
        <f>a.*h./(L.*Cpw.)*(H289-I289)+a.*lambda.*kc./(L.*Cpw.)*K289</f>
        <v>0.80292579058522762</v>
      </c>
      <c r="N289">
        <f>a.*kc./G.*(H289-I289)</f>
        <v>0.98116235918964367</v>
      </c>
    </row>
    <row r="290" spans="5:14" x14ac:dyDescent="0.25">
      <c r="E290">
        <v>288</v>
      </c>
      <c r="F290">
        <f>dz.*E290</f>
        <v>6.5482915208091246</v>
      </c>
      <c r="G290">
        <f>G289+L289*dz.</f>
        <v>2.7628617269133269</v>
      </c>
      <c r="H290">
        <f>H289+M289*dz.</f>
        <v>313.81834402484594</v>
      </c>
      <c r="I290">
        <f>I289+N289*dz.</f>
        <v>312.67849704264984</v>
      </c>
      <c r="J290">
        <f>(10^(AntA.-AntB./(AntC.+(H290-273.15)))*101325/760)</f>
        <v>7624.6371222909702</v>
      </c>
      <c r="K290">
        <f>(J290/(R.*H290)-G290)</f>
        <v>0.15947887944255479</v>
      </c>
      <c r="L290">
        <f>a.*kc./G.*K290</f>
        <v>0.1367905695831029</v>
      </c>
      <c r="M290">
        <f>a.*h./(L.*Cpw.)*(H290-I290)+a.*lambda.*kc./(L.*Cpw.)*K290</f>
        <v>0.80052373186968184</v>
      </c>
      <c r="N290">
        <f>a.*kc./G.*(H290-I290)</f>
        <v>0.97768631480978929</v>
      </c>
    </row>
    <row r="291" spans="5:14" x14ac:dyDescent="0.25">
      <c r="E291">
        <v>289</v>
      </c>
      <c r="F291">
        <f>dz.*E291</f>
        <v>6.571028644145267</v>
      </c>
      <c r="G291">
        <f>G290+L290*dz.</f>
        <v>2.765971950965159</v>
      </c>
      <c r="H291">
        <f>H290+M290*dz.</f>
        <v>313.83654563167096</v>
      </c>
      <c r="I291">
        <f>I290+N290*dz.</f>
        <v>312.70072681697371</v>
      </c>
      <c r="J291">
        <f>(10^(AntA.-AntB./(AntC.+(H291-273.15)))*101325/760)</f>
        <v>7632.0013886044244</v>
      </c>
      <c r="K291">
        <f>(J291/(R.*H291)-G291)</f>
        <v>0.15902155115372807</v>
      </c>
      <c r="L291">
        <f>a.*kc./G.*K291</f>
        <v>0.13639830323828195</v>
      </c>
      <c r="M291">
        <f>a.*h./(L.*Cpw.)*(H291-I291)+a.*lambda.*kc./(L.*Cpw.)*K291</f>
        <v>0.79813737650339378</v>
      </c>
      <c r="N291">
        <f>a.*kc./G.*(H291-I291)</f>
        <v>0.97423121574920457</v>
      </c>
    </row>
    <row r="292" spans="5:14" x14ac:dyDescent="0.25">
      <c r="E292">
        <v>290</v>
      </c>
      <c r="F292">
        <f>dz.*E292</f>
        <v>6.5937657674814094</v>
      </c>
      <c r="G292">
        <f>G291+L291*dz.</f>
        <v>2.7690732560087286</v>
      </c>
      <c r="H292">
        <f>H291+M291*dz.</f>
        <v>313.85469297963971</v>
      </c>
      <c r="I292">
        <f>I291+N291*dz.</f>
        <v>312.72287803228414</v>
      </c>
      <c r="J292">
        <f>(10^(AntA.-AntB./(AntC.+(H292-273.15)))*101325/760)</f>
        <v>7639.3498081230182</v>
      </c>
      <c r="K292">
        <f>(J292/(R.*H292)-G292)</f>
        <v>0.15856726730567328</v>
      </c>
      <c r="L292">
        <f>a.*kc./G.*K292</f>
        <v>0.13600864821596784</v>
      </c>
      <c r="M292">
        <f>a.*h./(L.*Cpw.)*(H292-I292)+a.*lambda.*kc./(L.*Cpw.)*K292</f>
        <v>0.79576660661107013</v>
      </c>
      <c r="N292">
        <f>a.*kc./G.*(H292-I292)</f>
        <v>0.97079695977676461</v>
      </c>
    </row>
    <row r="293" spans="5:14" x14ac:dyDescent="0.25">
      <c r="E293">
        <v>291</v>
      </c>
      <c r="F293">
        <f>dz.*E293</f>
        <v>6.6165028908175527</v>
      </c>
      <c r="G293">
        <f>G292+L292*dz.</f>
        <v>2.7721657014179972</v>
      </c>
      <c r="H293">
        <f>H292+M292*dz.</f>
        <v>313.872786423121</v>
      </c>
      <c r="I293">
        <f>I292+N292*dz.</f>
        <v>312.74495116249295</v>
      </c>
      <c r="J293">
        <f>(10^(AntA.-AntB./(AntC.+(H293-273.15)))*101325/760)</f>
        <v>7646.68247400371</v>
      </c>
      <c r="K293">
        <f>(J293/(R.*H293)-G293)</f>
        <v>0.15811600330643794</v>
      </c>
      <c r="L293">
        <f>a.*kc./G.*K293</f>
        <v>0.13562158342278946</v>
      </c>
      <c r="M293">
        <f>a.*h./(L.*Cpw.)*(H293-I293)+a.*lambda.*kc./(L.*Cpw.)*K293</f>
        <v>0.7934113054676748</v>
      </c>
      <c r="N293">
        <f>a.*kc./G.*(H293-I293)</f>
        <v>0.96738344435627488</v>
      </c>
    </row>
    <row r="294" spans="5:14" x14ac:dyDescent="0.25">
      <c r="E294">
        <v>292</v>
      </c>
      <c r="F294">
        <f>dz.*E294</f>
        <v>6.6392400141536951</v>
      </c>
      <c r="G294">
        <f>G293+L293*dz.</f>
        <v>2.7752493460873242</v>
      </c>
      <c r="H294">
        <f>H293+M293*dz.</f>
        <v>313.89082631382973</v>
      </c>
      <c r="I294">
        <f>I293+N293*dz.</f>
        <v>312.76694667918065</v>
      </c>
      <c r="J294">
        <f>(10^(AntA.-AntB./(AntC.+(H294-273.15)))*101325/760)</f>
        <v>7653.9994788915865</v>
      </c>
      <c r="K294">
        <f>(J294/(R.*H294)-G294)</f>
        <v>0.15766773484633889</v>
      </c>
      <c r="L294">
        <f>a.*kc./G.*K294</f>
        <v>0.1352370880074879</v>
      </c>
      <c r="M294">
        <f>a.*h./(L.*Cpw.)*(H294-I294)+a.*lambda.*kc./(L.*Cpw.)*K294</f>
        <v>0.79107135748548019</v>
      </c>
      <c r="N294">
        <f>a.*kc./G.*(H294-I294)</f>
        <v>0.96399056667484717</v>
      </c>
    </row>
    <row r="295" spans="5:14" x14ac:dyDescent="0.25">
      <c r="E295">
        <v>293</v>
      </c>
      <c r="F295">
        <f>dz.*E295</f>
        <v>6.6619771374898384</v>
      </c>
      <c r="G295">
        <f>G294+L294*dz.</f>
        <v>2.7783242484369715</v>
      </c>
      <c r="H295">
        <f>H294+M294*dz.</f>
        <v>313.90881300085255</v>
      </c>
      <c r="I295">
        <f>I294+N294*dz.</f>
        <v>312.78886505158999</v>
      </c>
      <c r="J295">
        <f>(10^(AntA.-AntB./(AntC.+(H295-273.15)))*101325/760)</f>
        <v>7661.300914923745</v>
      </c>
      <c r="K295">
        <f>(J295/(R.*H295)-G295)</f>
        <v>0.15722243789399482</v>
      </c>
      <c r="L295">
        <f>a.*kc./G.*K295</f>
        <v>0.13485514135751345</v>
      </c>
      <c r="M295">
        <f>a.*h./(L.*Cpw.)*(H295-I295)+a.*lambda.*kc./(L.*Cpw.)*K295</f>
        <v>0.78874664820137075</v>
      </c>
      <c r="N295">
        <f>a.*kc./G.*(H295-I295)</f>
        <v>0.96061822367039851</v>
      </c>
    </row>
    <row r="296" spans="5:14" x14ac:dyDescent="0.25">
      <c r="E296">
        <v>294</v>
      </c>
      <c r="F296">
        <f>dz.*E296</f>
        <v>6.6847142608259809</v>
      </c>
      <c r="G296">
        <f>G295+L295*dz.</f>
        <v>2.78139046641853</v>
      </c>
      <c r="H296">
        <f>H295+M295*dz.</f>
        <v>313.92674683067366</v>
      </c>
      <c r="I296">
        <f>I295+N295*dz.</f>
        <v>312.81070674662055</v>
      </c>
      <c r="J296">
        <f>(10^(AntA.-AntB./(AntC.+(H296-273.15)))*101325/760)</f>
        <v>7668.5868737330729</v>
      </c>
      <c r="K296">
        <f>(J296/(R.*H296)-G296)</f>
        <v>0.15678008869239735</v>
      </c>
      <c r="L296">
        <f>a.*kc./G.*K296</f>
        <v>0.1344757230956555</v>
      </c>
      <c r="M296">
        <f>a.*h./(L.*Cpw.)*(H296-I296)+a.*lambda.*kc./(L.*Cpw.)*K296</f>
        <v>0.78643706426421822</v>
      </c>
      <c r="N296">
        <f>a.*kc./G.*(H296-I296)</f>
        <v>0.95726631205851587</v>
      </c>
    </row>
    <row r="297" spans="5:14" x14ac:dyDescent="0.25">
      <c r="E297">
        <v>295</v>
      </c>
      <c r="F297">
        <f>dz.*E297</f>
        <v>6.7074513841621233</v>
      </c>
      <c r="G297">
        <f>G296+L296*dz.</f>
        <v>2.7844480575202728</v>
      </c>
      <c r="H297">
        <f>H296+M296*dz.</f>
        <v>313.94462814719998</v>
      </c>
      <c r="I297">
        <f>I296+N296*dz.</f>
        <v>312.83247222882335</v>
      </c>
      <c r="J297">
        <f>(10^(AntA.-AntB./(AntC.+(H297-273.15)))*101325/760)</f>
        <v>7675.8574464521253</v>
      </c>
      <c r="K297">
        <f>(J297/(R.*H297)-G297)</f>
        <v>0.15634066375509414</v>
      </c>
      <c r="L297">
        <f>a.*kc./G.*K297</f>
        <v>0.13409881307676877</v>
      </c>
      <c r="M297">
        <f>a.*h./(L.*Cpw.)*(H297-I297)+a.*lambda.*kc./(L.*Cpw.)*K297</f>
        <v>0.78414249342261411</v>
      </c>
      <c r="N297">
        <f>a.*kc./G.*(H297-I297)</f>
        <v>0.9539347283585411</v>
      </c>
    </row>
    <row r="298" spans="5:14" x14ac:dyDescent="0.25">
      <c r="E298">
        <v>296</v>
      </c>
      <c r="F298">
        <f>dz.*E298</f>
        <v>6.7301885074982666</v>
      </c>
      <c r="G298">
        <f>G297+L297*dz.</f>
        <v>2.7874970787724296</v>
      </c>
      <c r="H298">
        <f>H297+M297*dz.</f>
        <v>313.96245729178605</v>
      </c>
      <c r="I298">
        <f>I297+N297*dz.</f>
        <v>312.85416196039665</v>
      </c>
      <c r="J298">
        <f>(10^(AntA.-AntB./(AntC.+(H298-273.15)))*101325/760)</f>
        <v>7683.1127237167284</v>
      </c>
      <c r="K298">
        <f>(J298/(R.*H298)-G298)</f>
        <v>0.15590413986234442</v>
      </c>
      <c r="L298">
        <f>a.*kc./G.*K298</f>
        <v>0.13372439138447581</v>
      </c>
      <c r="M298">
        <f>a.*h./(L.*Cpw.)*(H298-I298)+a.*lambda.*kc./(L.*Cpw.)*K298</f>
        <v>0.78186282451234657</v>
      </c>
      <c r="N298">
        <f>a.*kc./G.*(H298-I298)</f>
        <v>0.95062336891863164</v>
      </c>
    </row>
    <row r="299" spans="5:14" x14ac:dyDescent="0.25">
      <c r="E299">
        <v>297</v>
      </c>
      <c r="F299">
        <f>dz.*E299</f>
        <v>6.752925630834409</v>
      </c>
      <c r="G299">
        <f>G298+L298*dz.</f>
        <v>2.7905375867523889</v>
      </c>
      <c r="H299">
        <f>H298+M298*dz.</f>
        <v>313.98023460325891</v>
      </c>
      <c r="I299">
        <f>I298+N298*dz.</f>
        <v>312.87577640118195</v>
      </c>
      <c r="J299">
        <f>(10^(AntA.-AntB./(AntC.+(H299-273.15)))*101325/760)</f>
        <v>7690.352795669859</v>
      </c>
      <c r="K299">
        <f>(J299/(R.*H299)-G299)</f>
        <v>0.15547049405744584</v>
      </c>
      <c r="L299">
        <f>a.*kc./G.*K299</f>
        <v>0.13335243832801627</v>
      </c>
      <c r="M299">
        <f>a.*h./(L.*Cpw.)*(H299-I299)+a.*lambda.*kc./(L.*Cpw.)*K299</f>
        <v>0.77959794744454203</v>
      </c>
      <c r="N299">
        <f>a.*kc./G.*(H299-I299)</f>
        <v>0.94733212994048011</v>
      </c>
    </row>
    <row r="300" spans="5:14" x14ac:dyDescent="0.25">
      <c r="E300">
        <v>298</v>
      </c>
      <c r="F300">
        <f>dz.*E300</f>
        <v>6.7756627541705523</v>
      </c>
      <c r="G300">
        <f>G299+L299*dz.</f>
        <v>2.7935696375898282</v>
      </c>
      <c r="H300">
        <f>H299+M299*dz.</f>
        <v>313.99796041794258</v>
      </c>
      <c r="I300">
        <f>I299+N299*dz.</f>
        <v>312.89731600866071</v>
      </c>
      <c r="J300">
        <f>(10^(AntA.-AntB./(AntC.+(H300-273.15)))*101325/760)</f>
        <v>7697.5777519652947</v>
      </c>
      <c r="K300">
        <f>(J300/(R.*H300)-G300)</f>
        <v>0.15503970364305131</v>
      </c>
      <c r="L300">
        <f>a.*kc./G.*K300</f>
        <v>0.13298293443908787</v>
      </c>
      <c r="M300">
        <f>a.*h./(L.*Cpw.)*(H300-I300)+a.*lambda.*kc./(L.*Cpw.)*K300</f>
        <v>0.77734775319364291</v>
      </c>
      <c r="N300">
        <f>a.*kc./G.*(H300-I300)</f>
        <v>0.94406090750315663</v>
      </c>
    </row>
    <row r="301" spans="5:14" x14ac:dyDescent="0.25">
      <c r="E301">
        <v>299</v>
      </c>
      <c r="F301">
        <f>dz.*E301</f>
        <v>6.7983998775066947</v>
      </c>
      <c r="G301">
        <f>G300+L300*dz.</f>
        <v>2.7965932869717718</v>
      </c>
      <c r="H301">
        <f>H300+M300*dz.</f>
        <v>314.01563506968199</v>
      </c>
      <c r="I301">
        <f>I300+N300*dz.</f>
        <v>312.91878123795146</v>
      </c>
      <c r="J301">
        <f>(10^(AntA.-AntB./(AntC.+(H301-273.15)))*101325/760)</f>
        <v>7704.787681771294</v>
      </c>
      <c r="K301">
        <f>(J301/(R.*H301)-G301)</f>
        <v>0.15461174617756646</v>
      </c>
      <c r="L301">
        <f>a.*kc./G.*K301</f>
        <v>0.13261586046875626</v>
      </c>
      <c r="M301">
        <f>a.*h./(L.*Cpw.)*(H301-I301)+a.*lambda.*kc./(L.*Cpw.)*K301</f>
        <v>0.77511213378559962</v>
      </c>
      <c r="N301">
        <f>a.*kc./G.*(H301-I301)</f>
        <v>0.94080959758607252</v>
      </c>
    </row>
    <row r="302" spans="5:14" x14ac:dyDescent="0.25">
      <c r="E302">
        <v>300</v>
      </c>
      <c r="F302">
        <f>dz.*E302</f>
        <v>6.821137000842838</v>
      </c>
      <c r="G302">
        <f>G301+L301*dz.</f>
        <v>2.7996085901475785</v>
      </c>
      <c r="H302">
        <f>H301+M301*dz.</f>
        <v>314.03325888986723</v>
      </c>
      <c r="I302">
        <f>I301+N301*dz.</f>
        <v>312.94017254180761</v>
      </c>
      <c r="J302">
        <f>(10^(AntA.-AntB./(AntC.+(H302-273.15)))*101325/760)</f>
        <v>7711.9826737742906</v>
      </c>
      <c r="K302">
        <f>(J302/(R.*H302)-G302)</f>
        <v>0.15418659947162006</v>
      </c>
      <c r="L302">
        <f>a.*kc./G.*K302</f>
        <v>0.13225119738442767</v>
      </c>
      <c r="M302">
        <f>a.*h./(L.*Cpw.)*(H302-I302)+a.*lambda.*kc./(L.*Cpw.)*K302</f>
        <v>0.77289098228633213</v>
      </c>
      <c r="N302">
        <f>a.*kc./G.*(H302-I302)</f>
        <v>0.93757809609170151</v>
      </c>
    </row>
    <row r="303" spans="5:14" x14ac:dyDescent="0.25">
      <c r="E303">
        <v>301</v>
      </c>
      <c r="F303">
        <f>dz.*E303</f>
        <v>6.8438741241789804</v>
      </c>
      <c r="G303">
        <f>G302+L302*dz.</f>
        <v>2.8026156019338608</v>
      </c>
      <c r="H303">
        <f>H302+M302*dz.</f>
        <v>314.05083220745689</v>
      </c>
      <c r="I303">
        <f>I302+N302*dz.</f>
        <v>312.96149037061571</v>
      </c>
      <c r="J303">
        <f>(10^(AntA.-AntB./(AntC.+(H303-273.15)))*101325/760)</f>
        <v>7719.162816182471</v>
      </c>
      <c r="K303">
        <f>(J303/(R.*H303)-G303)</f>
        <v>0.15376424158455659</v>
      </c>
      <c r="L303">
        <f>a.*kc./G.*K303</f>
        <v>0.13188892636684044</v>
      </c>
      <c r="M303">
        <f>a.*h./(L.*Cpw.)*(H303-I303)+a.*lambda.*kc./(L.*Cpw.)*K303</f>
        <v>0.77068419279011335</v>
      </c>
      <c r="N303">
        <f>a.*kc./G.*(H303-I303)</f>
        <v>0.93436629886708111</v>
      </c>
    </row>
    <row r="304" spans="5:14" x14ac:dyDescent="0.25">
      <c r="E304">
        <v>302</v>
      </c>
      <c r="F304">
        <f>dz.*E304</f>
        <v>6.8666112475151229</v>
      </c>
      <c r="G304">
        <f>G303+L303*dz.</f>
        <v>2.8056143767193351</v>
      </c>
      <c r="H304">
        <f>H303+M303*dz.</f>
        <v>314.06835534900159</v>
      </c>
      <c r="I304">
        <f>I303+N303*dz.</f>
        <v>312.9827351723942</v>
      </c>
      <c r="J304">
        <f>(10^(AntA.-AntB./(AntC.+(H304-273.15)))*101325/760)</f>
        <v>7726.3281967293779</v>
      </c>
      <c r="K304">
        <f>(J304/(R.*H304)-G304)</f>
        <v>0.15334465082101412</v>
      </c>
      <c r="L304">
        <f>a.*kc./G.*K304</f>
        <v>0.13152902880712966</v>
      </c>
      <c r="M304">
        <f>a.*h./(L.*Cpw.)*(H304-I304)+a.*lambda.*kc./(L.*Cpw.)*K304</f>
        <v>0.76849166040826922</v>
      </c>
      <c r="N304">
        <f>a.*kc./G.*(H304-I304)</f>
        <v>0.93117410172502146</v>
      </c>
    </row>
    <row r="305" spans="5:14" x14ac:dyDescent="0.25">
      <c r="E305">
        <v>303</v>
      </c>
      <c r="F305">
        <f>dz.*E305</f>
        <v>6.8893483708512662</v>
      </c>
      <c r="G305">
        <f>G304+L304*dz.</f>
        <v>2.8086049684696057</v>
      </c>
      <c r="H305">
        <f>H304+M304*dz.</f>
        <v>314.08582863866707</v>
      </c>
      <c r="I305">
        <f>I304+N304*dz.</f>
        <v>313.00390739279254</v>
      </c>
      <c r="J305">
        <f>(10^(AntA.-AntB./(AntC.+(H305-273.15)))*101325/760)</f>
        <v>7733.4789026775616</v>
      </c>
      <c r="K305">
        <f>(J305/(R.*H305)-G305)</f>
        <v>0.15292780572757447</v>
      </c>
      <c r="L305">
        <f>a.*kc./G.*K305</f>
        <v>0.13117148630395406</v>
      </c>
      <c r="M305">
        <f>a.*h./(L.*Cpw.)*(H305-I305)+a.*lambda.*kc./(L.*Cpw.)*K305</f>
        <v>0.76631328125809528</v>
      </c>
      <c r="N305">
        <f>a.*kc./G.*(H305-I305)</f>
        <v>0.9280014004647299</v>
      </c>
    </row>
    <row r="306" spans="5:14" x14ac:dyDescent="0.25">
      <c r="E306">
        <v>304</v>
      </c>
      <c r="F306">
        <f>dz.*E306</f>
        <v>6.9120854941874086</v>
      </c>
      <c r="G306">
        <f>G305+L305*dz.</f>
        <v>2.8115874307318838</v>
      </c>
      <c r="H306">
        <f>H305+M305*dz.</f>
        <v>314.10325239825715</v>
      </c>
      <c r="I306">
        <f>I305+N305*dz.</f>
        <v>313.025007475091</v>
      </c>
      <c r="J306">
        <f>(10^(AntA.-AntB./(AntC.+(H306-273.15)))*101325/760)</f>
        <v>7740.6150208220924</v>
      </c>
      <c r="K306">
        <f>(J306/(R.*H306)-G306)</f>
        <v>0.15251368508943086</v>
      </c>
      <c r="L306">
        <f>a.*kc./G.*K306</f>
        <v>0.13081628066063761</v>
      </c>
      <c r="M306">
        <f>a.*h./(L.*Cpw.)*(H306-I306)+a.*lambda.*kc./(L.*Cpw.)*K306</f>
        <v>0.76414895245174086</v>
      </c>
      <c r="N306">
        <f>a.*kc./G.*(H306-I306)</f>
        <v>0.92484809089165432</v>
      </c>
    </row>
    <row r="307" spans="5:14" x14ac:dyDescent="0.25">
      <c r="E307">
        <v>305</v>
      </c>
      <c r="F307">
        <f>dz.*E307</f>
        <v>6.9348226175235519</v>
      </c>
      <c r="G307">
        <f>G306+L306*dz.</f>
        <v>2.8145618166396402</v>
      </c>
      <c r="H307">
        <f>H306+M306*dz.</f>
        <v>314.12062694723625</v>
      </c>
      <c r="I307">
        <f>I306+N306*dz.</f>
        <v>313.04603586020079</v>
      </c>
      <c r="J307">
        <f>(10^(AntA.-AntB./(AntC.+(H307-273.15)))*101325/760)</f>
        <v>7747.7366374940621</v>
      </c>
      <c r="K307">
        <f>(J307/(R.*H307)-G307)</f>
        <v>0.15210226792711801</v>
      </c>
      <c r="L307">
        <f>a.*kc./G.*K307</f>
        <v>0.1304633938823648</v>
      </c>
      <c r="M307">
        <f>a.*h./(L.*Cpw.)*(H307-I307)+a.*lambda.*kc./(L.*Cpw.)*K307</f>
        <v>0.76199857208525523</v>
      </c>
      <c r="N307">
        <f>a.*kc./G.*(H307-I307)</f>
        <v>0.92171406883664508</v>
      </c>
    </row>
    <row r="308" spans="5:14" x14ac:dyDescent="0.25">
      <c r="E308">
        <v>306</v>
      </c>
      <c r="F308">
        <f>dz.*E308</f>
        <v>6.9575597408596943</v>
      </c>
      <c r="G308">
        <f>G307+L307*dz.</f>
        <v>2.8175281789171955</v>
      </c>
      <c r="H308">
        <f>H307+M307*dz.</f>
        <v>314.13795260275174</v>
      </c>
      <c r="I308">
        <f>I307+N307*dz.</f>
        <v>313.06699298666456</v>
      </c>
      <c r="J308">
        <f>(10^(AntA.-AntB./(AntC.+(H308-273.15)))*101325/760)</f>
        <v>7754.8438385641239</v>
      </c>
      <c r="K308">
        <f>(J308/(R.*H308)-G308)</f>
        <v>0.15169353349331649</v>
      </c>
      <c r="L308">
        <f>a.*kc./G.*K308</f>
        <v>0.13011280817343976</v>
      </c>
      <c r="M308">
        <f>a.*h./(L.*Cpw.)*(H308-I308)+a.*lambda.*kc./(L.*Cpw.)*K308</f>
        <v>0.75986203922789797</v>
      </c>
      <c r="N308">
        <f>a.*kc./G.*(H308-I308)</f>
        <v>0.91859923017477463</v>
      </c>
    </row>
    <row r="309" spans="5:14" x14ac:dyDescent="0.25">
      <c r="E309">
        <v>307</v>
      </c>
      <c r="F309">
        <f>dz.*E309</f>
        <v>6.9802968641958376</v>
      </c>
      <c r="G309">
        <f>G308+L308*dz.</f>
        <v>2.8204865698842467</v>
      </c>
      <c r="H309">
        <f>H308+M308*dz.</f>
        <v>314.15522967965609</v>
      </c>
      <c r="I309">
        <f>I308+N308*dz.</f>
        <v>313.08787929065755</v>
      </c>
      <c r="J309">
        <f>(10^(AntA.-AntB./(AntC.+(H309-273.15)))*101325/760)</f>
        <v>7761.9367094459612</v>
      </c>
      <c r="K309">
        <f>(J309/(R.*H309)-G309)</f>
        <v>0.15128746126968862</v>
      </c>
      <c r="L309">
        <f>a.*kc./G.*K309</f>
        <v>0.1297645059345722</v>
      </c>
      <c r="M309">
        <f>a.*h./(L.*Cpw.)*(H309-I309)+a.*lambda.*kc./(L.*Cpw.)*K309</f>
        <v>0.7577392539114568</v>
      </c>
      <c r="N309">
        <f>a.*kc./G.*(H309-I309)</f>
        <v>0.91550347084327999</v>
      </c>
    </row>
    <row r="310" spans="5:14" x14ac:dyDescent="0.25">
      <c r="E310">
        <v>308</v>
      </c>
      <c r="F310">
        <f>dz.*E310</f>
        <v>7.00303398753198</v>
      </c>
      <c r="G310">
        <f>G309+L309*dz.</f>
        <v>2.8234370414603349</v>
      </c>
      <c r="H310">
        <f>H309+M309*dz.</f>
        <v>314.17245849052892</v>
      </c>
      <c r="I310">
        <f>I309+N309*dz.</f>
        <v>313.10869520598879</v>
      </c>
      <c r="J310">
        <f>(10^(AntA.-AntB./(AntC.+(H310-273.15)))*101325/760)</f>
        <v>7769.015335099748</v>
      </c>
      <c r="K310">
        <f>(J310/(R.*H310)-G310)</f>
        <v>0.15088403096377601</v>
      </c>
      <c r="L310">
        <f>a.*kc./G.*K310</f>
        <v>0.12941846976021626</v>
      </c>
      <c r="M310">
        <f>a.*h./(L.*Cpw.)*(H310-I310)+a.*lambda.*kc./(L.*Cpw.)*K310</f>
        <v>0.7556301171198232</v>
      </c>
      <c r="N310">
        <f>a.*kc./G.*(H310-I310)</f>
        <v>0.91242668685950523</v>
      </c>
    </row>
    <row r="311" spans="5:14" x14ac:dyDescent="0.25">
      <c r="E311">
        <v>309</v>
      </c>
      <c r="F311">
        <f>dz.*E311</f>
        <v>7.0257711108681224</v>
      </c>
      <c r="G311">
        <f>G310+L310*dz.</f>
        <v>2.826379645169248</v>
      </c>
      <c r="H311">
        <f>H310+M310*dz.</f>
        <v>314.18963934569837</v>
      </c>
      <c r="I311">
        <f>I310+N310*dz.</f>
        <v>313.12944116410313</v>
      </c>
      <c r="J311">
        <f>(10^(AntA.-AntB./(AntC.+(H311-273.15)))*101325/760)</f>
        <v>7776.0798000355599</v>
      </c>
      <c r="K311">
        <f>(J311/(R.*H311)-G311)</f>
        <v>0.15048322250593937</v>
      </c>
      <c r="L311">
        <f>a.*kc./G.*K311</f>
        <v>0.12907468243594586</v>
      </c>
      <c r="M311">
        <f>a.*h./(L.*Cpw.)*(H311-I311)+a.*lambda.*kc./(L.*Cpw.)*K311</f>
        <v>0.75353453077854715</v>
      </c>
      <c r="N311">
        <f>a.*kc./G.*(H311-I311)</f>
        <v>0.90936877433743013</v>
      </c>
    </row>
    <row r="312" spans="5:14" x14ac:dyDescent="0.25">
      <c r="E312">
        <v>310</v>
      </c>
      <c r="F312">
        <f>dz.*E312</f>
        <v>7.0485082342042658</v>
      </c>
      <c r="G312">
        <f>G311+L311*dz.</f>
        <v>2.8293144321433674</v>
      </c>
      <c r="H312">
        <f>H311+M311*dz.</f>
        <v>314.20677255326274</v>
      </c>
      <c r="I312">
        <f>I311+N311*dz.</f>
        <v>313.15011759408327</v>
      </c>
      <c r="J312">
        <f>(10^(AntA.-AntB./(AntC.+(H312-273.15)))*101325/760)</f>
        <v>7783.1301883168398</v>
      </c>
      <c r="K312">
        <f>(J312/(R.*H312)-G312)</f>
        <v>0.15008501604637248</v>
      </c>
      <c r="L312">
        <f>a.*kc./G.*K312</f>
        <v>0.12873312693589328</v>
      </c>
      <c r="M312">
        <f>a.*h./(L.*Cpw.)*(H312-I312)+a.*lambda.*kc./(L.*Cpw.)*K312</f>
        <v>0.7514523977447467</v>
      </c>
      <c r="N312">
        <f>a.*kc./G.*(H312-I312)</f>
        <v>0.90632962950453955</v>
      </c>
    </row>
    <row r="313" spans="5:14" x14ac:dyDescent="0.25">
      <c r="E313">
        <v>311</v>
      </c>
      <c r="F313">
        <f>dz.*E313</f>
        <v>7.0712453575404082</v>
      </c>
      <c r="G313">
        <f>G312+L312*dz.</f>
        <v>2.8322414531279563</v>
      </c>
      <c r="H313">
        <f>H312+M312*dz.</f>
        <v>314.22385841911148</v>
      </c>
      <c r="I313">
        <f>I312+N312*dz.</f>
        <v>313.17072492265254</v>
      </c>
      <c r="J313">
        <f>(10^(AntA.-AntB./(AntC.+(H313-273.15)))*101325/760)</f>
        <v>7790.1665835636377</v>
      </c>
      <c r="K313">
        <f>(J313/(R.*H313)-G313)</f>
        <v>0.14968939195209074</v>
      </c>
      <c r="L313">
        <f>a.*kc./G.*K313</f>
        <v>0.1283937864201663</v>
      </c>
      <c r="M313">
        <f>a.*h./(L.*Cpw.)*(H313-I313)+a.*lambda.*kc./(L.*Cpw.)*K313</f>
        <v>0.74938362179673845</v>
      </c>
      <c r="N313">
        <f>a.*kc./G.*(H313-I313)</f>
        <v>0.90330914871742585</v>
      </c>
    </row>
    <row r="314" spans="5:14" x14ac:dyDescent="0.25">
      <c r="E314">
        <v>312</v>
      </c>
      <c r="F314">
        <f>dz.*E314</f>
        <v>7.0939824808765515</v>
      </c>
      <c r="G314">
        <f>G313+L313*dz.</f>
        <v>2.8351607584853862</v>
      </c>
      <c r="H314">
        <f>H313+M313*dz.</f>
        <v>314.24089724694636</v>
      </c>
      <c r="I314">
        <f>I313+N313*dz.</f>
        <v>313.19126357417758</v>
      </c>
      <c r="J314">
        <f>(10^(AntA.-AntB./(AntC.+(H314-273.15)))*101325/760)</f>
        <v>7797.1890689561869</v>
      </c>
      <c r="K314">
        <f>(J314/(R.*H314)-G314)</f>
        <v>0.14929633080410554</v>
      </c>
      <c r="L314">
        <f>a.*kc./G.*K314</f>
        <v>0.12805664423242444</v>
      </c>
      <c r="M314">
        <f>a.*h./(L.*Cpw.)*(H314-I314)+a.*lambda.*kc./(L.*Cpw.)*K314</f>
        <v>0.74732810762447199</v>
      </c>
      <c r="N314">
        <f>a.*kc./G.*(H314-I314)</f>
        <v>0.90030722847763467</v>
      </c>
    </row>
    <row r="315" spans="5:14" x14ac:dyDescent="0.25">
      <c r="E315">
        <v>313</v>
      </c>
      <c r="F315">
        <f>dz.*E315</f>
        <v>7.1167196042126939</v>
      </c>
      <c r="G315">
        <f>G314+L314*dz.</f>
        <v>2.8380723981993112</v>
      </c>
      <c r="H315">
        <f>H314+M314*dz.</f>
        <v>314.25788933830199</v>
      </c>
      <c r="I315">
        <f>I314+N314*dz.</f>
        <v>313.2117339706719</v>
      </c>
      <c r="J315">
        <f>(10^(AntA.-AntB./(AntC.+(H315-273.15)))*101325/760)</f>
        <v>7804.1977272380318</v>
      </c>
      <c r="K315">
        <f>(J315/(R.*H315)-G315)</f>
        <v>0.1489058133944825</v>
      </c>
      <c r="L315">
        <f>a.*kc./G.*K315</f>
        <v>0.12772168389735578</v>
      </c>
      <c r="M315">
        <f>a.*h./(L.*Cpw.)*(H315-I315)+a.*lambda.*kc./(L.*Cpw.)*K315</f>
        <v>0.74528576081930753</v>
      </c>
      <c r="N315">
        <f>a.*kc./G.*(H315-I315)</f>
        <v>0.89732376544624326</v>
      </c>
    </row>
    <row r="316" spans="5:14" x14ac:dyDescent="0.25">
      <c r="E316">
        <v>314</v>
      </c>
      <c r="F316">
        <f>dz.*E316</f>
        <v>7.1394567275488363</v>
      </c>
      <c r="G316">
        <f>G315+L315*dz.</f>
        <v>2.8409764218787852</v>
      </c>
      <c r="H316">
        <f>H315+M315*dz.</f>
        <v>314.27483499256641</v>
      </c>
      <c r="I316">
        <f>I315+N315*dz.</f>
        <v>313.23213653179931</v>
      </c>
      <c r="J316">
        <f>(10^(AntA.-AntB./(AntC.+(H316-273.15)))*101325/760)</f>
        <v>7811.1926407194342</v>
      </c>
      <c r="K316">
        <f>(J316/(R.*H316)-G316)</f>
        <v>0.14851782072356201</v>
      </c>
      <c r="L316">
        <f>a.*kc./G.*K316</f>
        <v>0.12738888911829288</v>
      </c>
      <c r="M316">
        <f>a.*h./(L.*Cpw.)*(H316-I316)+a.*lambda.*kc./(L.*Cpw.)*K316</f>
        <v>0.74325648786448073</v>
      </c>
      <c r="N316">
        <f>a.*kc./G.*(H316-I316)</f>
        <v>0.89435865645853585</v>
      </c>
    </row>
    <row r="317" spans="5:14" x14ac:dyDescent="0.25">
      <c r="E317">
        <v>315</v>
      </c>
      <c r="F317">
        <f>dz.*E317</f>
        <v>7.1621938508849796</v>
      </c>
      <c r="G317">
        <f>G316+L316*dz.</f>
        <v>2.8438728787623222</v>
      </c>
      <c r="H317">
        <f>H316+M316*dz.</f>
        <v>314.29173450700137</v>
      </c>
      <c r="I317">
        <f>I316+N316*dz.</f>
        <v>313.25247167487794</v>
      </c>
      <c r="J317">
        <f>(10^(AntA.-AntB./(AntC.+(H317-273.15)))*101325/760)</f>
        <v>7818.1738912806923</v>
      </c>
      <c r="K317">
        <f>(J317/(R.*H317)-G317)</f>
        <v>0.14813233399719561</v>
      </c>
      <c r="L317">
        <f>a.*kc./G.*K317</f>
        <v>0.12705824377484237</v>
      </c>
      <c r="M317">
        <f>a.*h./(L.*Cpw.)*(H317-I317)+a.*lambda.*kc./(L.*Cpw.)*K317</f>
        <v>0.74124019612553982</v>
      </c>
      <c r="N317">
        <f>a.*kc./G.*(H317-I317)</f>
        <v>0.89141179853799735</v>
      </c>
    </row>
    <row r="318" spans="5:14" x14ac:dyDescent="0.25">
      <c r="E318">
        <v>316</v>
      </c>
      <c r="F318">
        <f>dz.*E318</f>
        <v>7.184930974221122</v>
      </c>
      <c r="G318">
        <f>G317+L317*dz.</f>
        <v>2.8467618177219043</v>
      </c>
      <c r="H318">
        <f>H317+M317*dz.</f>
        <v>314.30858817676238</v>
      </c>
      <c r="I318">
        <f>I317+N317*dz.</f>
        <v>313.27273981488457</v>
      </c>
      <c r="J318">
        <f>(10^(AntA.-AntB./(AntC.+(H318-273.15)))*101325/760)</f>
        <v>7825.1415603753203</v>
      </c>
      <c r="K318">
        <f>(J318/(R.*H318)-G318)</f>
        <v>0.14774933462399265</v>
      </c>
      <c r="L318">
        <f>a.*kc./G.*K318</f>
        <v>0.12672973192052328</v>
      </c>
      <c r="M318">
        <f>a.*h./(L.*Cpw.)*(H318-I318)+a.*lambda.*kc./(L.*Cpw.)*K318</f>
        <v>0.73923679384075058</v>
      </c>
      <c r="N318">
        <f>a.*kc./G.*(H318-I318)</f>
        <v>0.88848308890976968</v>
      </c>
    </row>
    <row r="319" spans="5:14" x14ac:dyDescent="0.25">
      <c r="E319">
        <v>317</v>
      </c>
      <c r="F319">
        <f>dz.*E319</f>
        <v>7.2076680975572653</v>
      </c>
      <c r="G319">
        <f>G318+L318*dz.</f>
        <v>2.8496432872669377</v>
      </c>
      <c r="H319">
        <f>H318+M318*dz.</f>
        <v>314.32539629491856</v>
      </c>
      <c r="I319">
        <f>I318+N318*dz.</f>
        <v>313.29294136445918</v>
      </c>
      <c r="J319">
        <f>(10^(AntA.-AntB./(AntC.+(H319-273.15)))*101325/760)</f>
        <v>7832.095729033329</v>
      </c>
      <c r="K319">
        <f>(J319/(R.*H319)-G319)</f>
        <v>0.14736880421264642</v>
      </c>
      <c r="L319">
        <f>a.*kc./G.*K319</f>
        <v>0.12640333778047358</v>
      </c>
      <c r="M319">
        <f>a.*h./(L.*Cpw.)*(H319-I319)+a.*lambda.*kc./(L.*Cpw.)*K319</f>
        <v>0.73724619011178394</v>
      </c>
      <c r="N319">
        <f>a.*kc./G.*(H319-I319)</f>
        <v>0.88557242501376743</v>
      </c>
    </row>
    <row r="320" spans="5:14" x14ac:dyDescent="0.25">
      <c r="E320">
        <v>318</v>
      </c>
      <c r="F320">
        <f>dz.*E320</f>
        <v>7.2304052208934078</v>
      </c>
      <c r="G320">
        <f>G319+L319*dz.</f>
        <v>2.8525173355481526</v>
      </c>
      <c r="H320">
        <f>H319+M319*dz.</f>
        <v>314.34215915247222</v>
      </c>
      <c r="I320">
        <f>I319+N319*dz.</f>
        <v>313.31307673390978</v>
      </c>
      <c r="J320">
        <f>(10^(AntA.-AntB./(AntC.+(H320-273.15)))*101325/760)</f>
        <v>7839.0364778644907</v>
      </c>
      <c r="K320">
        <f>(J320/(R.*H320)-G320)</f>
        <v>0.1469907245693145</v>
      </c>
      <c r="L320">
        <f>a.*kc./G.*K320</f>
        <v>0.1260790457492032</v>
      </c>
      <c r="M320">
        <f>a.*h./(L.*Cpw.)*(H320-I320)+a.*lambda.*kc./(L.*Cpw.)*K320</f>
        <v>0.73526829489456969</v>
      </c>
      <c r="N320">
        <f>a.*kc./G.*(H320-I320)</f>
        <v>0.88267970451735467</v>
      </c>
    </row>
    <row r="321" spans="5:14" x14ac:dyDescent="0.25">
      <c r="E321">
        <v>319</v>
      </c>
      <c r="F321">
        <f>dz.*E321</f>
        <v>7.2531423442295511</v>
      </c>
      <c r="G321">
        <f>G320+L320*dz.</f>
        <v>2.8553840103614552</v>
      </c>
      <c r="H321">
        <f>H320+M320*dz.</f>
        <v>314.35887703837841</v>
      </c>
      <c r="I321">
        <f>I320+N320*dz.</f>
        <v>313.33314633121768</v>
      </c>
      <c r="J321">
        <f>(10^(AntA.-AntB./(AntC.+(H321-273.15)))*101325/760)</f>
        <v>7845.9638870614444</v>
      </c>
      <c r="K321">
        <f>(J321/(R.*H321)-G321)</f>
        <v>0.14661507769498305</v>
      </c>
      <c r="L321">
        <f>a.*kc./G.*K321</f>
        <v>0.12575684038833335</v>
      </c>
      <c r="M321">
        <f>a.*h./(L.*Cpw.)*(H321-I321)+a.*lambda.*kc./(L.*Cpw.)*K321</f>
        <v>0.73330301899002182</v>
      </c>
      <c r="N321">
        <f>a.*kc./G.*(H321-I321)</f>
        <v>0.87980482532758297</v>
      </c>
    </row>
    <row r="322" spans="5:14" x14ac:dyDescent="0.25">
      <c r="E322">
        <v>320</v>
      </c>
      <c r="F322">
        <f>dz.*E322</f>
        <v>7.2758794675656935</v>
      </c>
      <c r="G322">
        <f>G321+L321*dz.</f>
        <v>2.8582433591517282</v>
      </c>
      <c r="H322">
        <f>H321+M321*dz.</f>
        <v>314.37555023956395</v>
      </c>
      <c r="I322">
        <f>I321+N321*dz.</f>
        <v>313.35315056204286</v>
      </c>
      <c r="J322">
        <f>(10^(AntA.-AntB./(AntC.+(H322-273.15)))*101325/760)</f>
        <v>7852.8780364029344</v>
      </c>
      <c r="K322">
        <f>(J322/(R.*H322)-G322)</f>
        <v>0.14624184578293598</v>
      </c>
      <c r="L322">
        <f>a.*kc./G.*K322</f>
        <v>0.12543670642442559</v>
      </c>
      <c r="M322">
        <f>a.*h./(L.*Cpw.)*(H322-I322)+a.*lambda.*kc./(L.*Cpw.)*K322</f>
        <v>0.73135027403512465</v>
      </c>
      <c r="N322">
        <f>a.*kc./G.*(H322-I322)</f>
        <v>0.87694768560289227</v>
      </c>
    </row>
    <row r="323" spans="5:14" x14ac:dyDescent="0.25">
      <c r="E323">
        <v>321</v>
      </c>
      <c r="F323">
        <f>dz.*E323</f>
        <v>7.2986165909018359</v>
      </c>
      <c r="G323">
        <f>G322+L322*dz.</f>
        <v>2.8610954290165798</v>
      </c>
      <c r="H323">
        <f>H322+M322*dz.</f>
        <v>314.39217904094659</v>
      </c>
      <c r="I323">
        <f>I322+N322*dz.</f>
        <v>313.37308982972974</v>
      </c>
      <c r="J323">
        <f>(10^(AntA.-AntB./(AntC.+(H323-273.15)))*101325/760)</f>
        <v>7859.7790052569289</v>
      </c>
      <c r="K323">
        <f>(J323/(R.*H323)-G323)</f>
        <v>0.1458710112162267</v>
      </c>
      <c r="L323">
        <f>a.*kc./G.*K323</f>
        <v>0.12511862874681351</v>
      </c>
      <c r="M323">
        <f>a.*h./(L.*Cpw.)*(H323-I323)+a.*lambda.*kc./(L.*Cpw.)*K323</f>
        <v>0.72940997249400474</v>
      </c>
      <c r="N323">
        <f>a.*kc./G.*(H323-I323)</f>
        <v>0.87410818376461863</v>
      </c>
    </row>
    <row r="324" spans="5:14" x14ac:dyDescent="0.25">
      <c r="E324">
        <v>322</v>
      </c>
      <c r="F324">
        <f>dz.*E324</f>
        <v>7.3213537142379792</v>
      </c>
      <c r="G324">
        <f>G323+L323*dz.</f>
        <v>2.8639402667100451</v>
      </c>
      <c r="H324">
        <f>H323+M323*dz.</f>
        <v>314.40876372545381</v>
      </c>
      <c r="I324">
        <f>I323+N323*dz.</f>
        <v>313.39296453531313</v>
      </c>
      <c r="J324">
        <f>(10^(AntA.-AntB./(AntC.+(H324-273.15)))*101325/760)</f>
        <v>7866.6668725837671</v>
      </c>
      <c r="K324">
        <f>(J324/(R.*H324)-G324)</f>
        <v>0.14550255656520505</v>
      </c>
      <c r="L324">
        <f>a.*kc./G.*K324</f>
        <v>0.12480259240548124</v>
      </c>
      <c r="M324">
        <f>a.*h./(L.*Cpw.)*(H324-I324)+a.*lambda.*kc./(L.*Cpw.)*K324</f>
        <v>0.72748202764916314</v>
      </c>
      <c r="N324">
        <f>a.*kc./G.*(H324-I324)</f>
        <v>0.87128621850801191</v>
      </c>
    </row>
    <row r="325" spans="5:14" x14ac:dyDescent="0.25">
      <c r="E325">
        <v>323</v>
      </c>
      <c r="F325">
        <f>dz.*E325</f>
        <v>7.3440908375741216</v>
      </c>
      <c r="G325">
        <f>G324+L324*dz.</f>
        <v>2.866777918646239</v>
      </c>
      <c r="H325">
        <f>H324+M324*dz.</f>
        <v>314.42530457404132</v>
      </c>
      <c r="I325">
        <f>I324+N324*dz.</f>
        <v>313.41277507752443</v>
      </c>
      <c r="J325">
        <f>(10^(AntA.-AntB./(AntC.+(H325-273.15)))*101325/760)</f>
        <v>7873.5417169392731</v>
      </c>
      <c r="K325">
        <f>(J325/(R.*H325)-G325)</f>
        <v>0.14513646458508589</v>
      </c>
      <c r="L325">
        <f>a.*kc./G.*K325</f>
        <v>0.12448858260897809</v>
      </c>
      <c r="M325">
        <f>a.*h./(L.*Cpw.)*(H325-I325)+a.*lambda.*kc./(L.*Cpw.)*K325</f>
        <v>0.72556635359281363</v>
      </c>
      <c r="N325">
        <f>a.*kc./G.*(H325-I325)</f>
        <v>0.86848168881276822</v>
      </c>
    </row>
    <row r="326" spans="5:14" x14ac:dyDescent="0.25">
      <c r="E326">
        <v>324</v>
      </c>
      <c r="F326">
        <f>dz.*E326</f>
        <v>7.3668279609102649</v>
      </c>
      <c r="G326">
        <f>G325+L325*dz.</f>
        <v>2.8696084309029608</v>
      </c>
      <c r="H326">
        <f>H325+M325*dz.</f>
        <v>314.44180186571151</v>
      </c>
      <c r="I326">
        <f>I325+N325*dz.</f>
        <v>313.43252185279817</v>
      </c>
      <c r="J326">
        <f>(10^(AntA.-AntB./(AntC.+(H326-273.15)))*101325/760)</f>
        <v>7880.4036164777817</v>
      </c>
      <c r="K326">
        <f>(J326/(R.*H326)-G326)</f>
        <v>0.14477271821352744</v>
      </c>
      <c r="L326">
        <f>a.*kc./G.*K326</f>
        <v>0.12417658472234139</v>
      </c>
      <c r="M326">
        <f>a.*h./(L.*Cpw.)*(H326-I326)+a.*lambda.*kc./(L.*Cpw.)*K326</f>
        <v>0.72366286521822143</v>
      </c>
      <c r="N326">
        <f>a.*kc./G.*(H326-I326)</f>
        <v>0.86569449395326836</v>
      </c>
    </row>
    <row r="327" spans="5:14" x14ac:dyDescent="0.25">
      <c r="E327">
        <v>325</v>
      </c>
      <c r="F327">
        <f>dz.*E327</f>
        <v>7.3895650842464073</v>
      </c>
      <c r="G327">
        <f>G326+L326*dz.</f>
        <v>2.8724318492252539</v>
      </c>
      <c r="H327">
        <f>H326+M326*dz.</f>
        <v>314.45825587753177</v>
      </c>
      <c r="I327">
        <f>I326+N326*dz.</f>
        <v>313.45220525527861</v>
      </c>
      <c r="J327">
        <f>(10^(AntA.-AntB./(AntC.+(H327-273.15)))*101325/760)</f>
        <v>7887.2526489552638</v>
      </c>
      <c r="K327">
        <f>(J327/(R.*H327)-G327)</f>
        <v>0.14441130056828921</v>
      </c>
      <c r="L327">
        <f>a.*kc./G.*K327</f>
        <v>0.12386658426508755</v>
      </c>
      <c r="M327">
        <f>a.*h./(L.*Cpw.)*(H327-I327)+a.*lambda.*kc./(L.*Cpw.)*K327</f>
        <v>0.7217714782113458</v>
      </c>
      <c r="N327">
        <f>a.*kc./G.*(H327-I327)</f>
        <v>0.86292453350862142</v>
      </c>
    </row>
    <row r="328" spans="5:14" x14ac:dyDescent="0.25">
      <c r="E328">
        <v>326</v>
      </c>
      <c r="F328">
        <f>dz.*E328</f>
        <v>7.4123022075825507</v>
      </c>
      <c r="G328">
        <f>G327+L327*dz.</f>
        <v>2.8752482190289159</v>
      </c>
      <c r="H328">
        <f>H327+M327*dz.</f>
        <v>314.47466688465238</v>
      </c>
      <c r="I328">
        <f>I327+N327*dz.</f>
        <v>313.47182567682677</v>
      </c>
      <c r="J328">
        <f>(10^(AntA.-AntB./(AntC.+(H328-273.15)))*101325/760)</f>
        <v>7894.0888917323682</v>
      </c>
      <c r="K328">
        <f>(J328/(R.*H328)-G328)</f>
        <v>0.14405219494491472</v>
      </c>
      <c r="L328">
        <f>a.*kc./G.*K328</f>
        <v>0.12355856690922455</v>
      </c>
      <c r="M328">
        <f>a.*h./(L.*Cpw.)*(H328-I328)+a.*lambda.*kc./(L.*Cpw.)*K328</f>
        <v>0.71989210904248369</v>
      </c>
      <c r="N328">
        <f>a.*kc./G.*(H328-I328)</f>
        <v>0.86017170737197801</v>
      </c>
    </row>
    <row r="329" spans="5:14" x14ac:dyDescent="0.25">
      <c r="E329">
        <v>327</v>
      </c>
      <c r="F329">
        <f>dz.*E329</f>
        <v>7.4350393309186931</v>
      </c>
      <c r="G329">
        <f>G328+L328*dz.</f>
        <v>2.8780575854039681</v>
      </c>
      <c r="H329">
        <f>H328+M328*dz.</f>
        <v>314.49103516032437</v>
      </c>
      <c r="I329">
        <f>I328+N328*dz.</f>
        <v>313.49138350702754</v>
      </c>
      <c r="J329">
        <f>(10^(AntA.-AntB./(AntC.+(H329-273.15)))*101325/760)</f>
        <v>7900.9124217773715</v>
      </c>
      <c r="K329">
        <f>(J329/(R.*H329)-G329)</f>
        <v>0.14369538481441158</v>
      </c>
      <c r="L329">
        <f>a.*kc./G.*K329</f>
        <v>0.12325251847726194</v>
      </c>
      <c r="M329">
        <f>a.*h./(L.*Cpw.)*(H329-I329)+a.*lambda.*kc./(L.*Cpw.)*K329</f>
        <v>0.71802467495788946</v>
      </c>
      <c r="N329">
        <f>a.*kc./G.*(H329-I329)</f>
        <v>0.85743591575974443</v>
      </c>
    </row>
    <row r="330" spans="5:14" x14ac:dyDescent="0.25">
      <c r="E330">
        <v>328</v>
      </c>
      <c r="F330">
        <f>dz.*E330</f>
        <v>7.4577764542548355</v>
      </c>
      <c r="G330">
        <f>G329+L329*dz.</f>
        <v>2.8808599931180758</v>
      </c>
      <c r="H330">
        <f>H329+M329*dz.</f>
        <v>314.50736097591727</v>
      </c>
      <c r="I330">
        <f>I329+N329*dz.</f>
        <v>313.51087913319702</v>
      </c>
      <c r="J330">
        <f>(10^(AntA.-AntB./(AntC.+(H330-273.15)))*101325/760)</f>
        <v>7907.7233156692801</v>
      </c>
      <c r="K330">
        <f>(J330/(R.*H330)-G330)</f>
        <v>0.14334085382104123</v>
      </c>
      <c r="L330">
        <f>a.*kc./G.*K330</f>
        <v>0.12294842494031517</v>
      </c>
      <c r="M330">
        <f>a.*h./(L.*Cpw.)*(H330-I330)+a.*lambda.*kc./(L.*Cpw.)*K330</f>
        <v>0.7161690939718105</v>
      </c>
      <c r="N330">
        <f>a.*kc./G.*(H330-I330)</f>
        <v>0.85471705922050578</v>
      </c>
    </row>
    <row r="331" spans="5:14" x14ac:dyDescent="0.25">
      <c r="E331">
        <v>329</v>
      </c>
      <c r="F331">
        <f>dz.*E331</f>
        <v>7.4805135775909788</v>
      </c>
      <c r="G331">
        <f>G330+L330*dz.</f>
        <v>2.8836554866199284</v>
      </c>
      <c r="H331">
        <f>H330+M330*dz.</f>
        <v>314.52364460093645</v>
      </c>
      <c r="I331">
        <f>I330+N330*dz.</f>
        <v>313.53031294039005</v>
      </c>
      <c r="J331">
        <f>(10^(AntA.-AntB./(AntC.+(H331-273.15)))*101325/760)</f>
        <v>7914.5216496007506</v>
      </c>
      <c r="K331">
        <f>(J331/(R.*H331)-G331)</f>
        <v>0.14298858578008122</v>
      </c>
      <c r="L331">
        <f>a.*kc./G.*K331</f>
        <v>0.12264627241618611</v>
      </c>
      <c r="M331">
        <f>a.*h./(L.*Cpw.)*(H331-I331)+a.*lambda.*kc./(L.*Cpw.)*K331</f>
        <v>0.71432528485834745</v>
      </c>
      <c r="N331">
        <f>a.*kc./G.*(H331-I331)</f>
        <v>0.85201503864350925</v>
      </c>
    </row>
    <row r="332" spans="5:14" x14ac:dyDescent="0.25">
      <c r="E332">
        <v>330</v>
      </c>
      <c r="F332">
        <f>dz.*E332</f>
        <v>7.5032507009271212</v>
      </c>
      <c r="G332">
        <f>G331+L331*dz.</f>
        <v>2.8864441100425733</v>
      </c>
      <c r="H332">
        <f>H331+M331*dz.</f>
        <v>314.53988630304042</v>
      </c>
      <c r="I332">
        <f>I331+N331*dz.</f>
        <v>313.54968531140793</v>
      </c>
      <c r="J332">
        <f>(10^(AntA.-AntB./(AntC.+(H332-273.15)))*101325/760)</f>
        <v>7921.3074993809932</v>
      </c>
      <c r="K332">
        <f>(J332/(R.*H332)-G332)</f>
        <v>0.14263856467562164</v>
      </c>
      <c r="L332">
        <f>a.*kc./G.*K332</f>
        <v>0.12234604716747298</v>
      </c>
      <c r="M332">
        <f>a.*h./(L.*Cpw.)*(H332-I332)+a.*lambda.*kc./(L.*Cpw.)*K332</f>
        <v>0.71249316714340116</v>
      </c>
      <c r="N332">
        <f>a.*kc./G.*(H332-I332)</f>
        <v>0.84932975526675769</v>
      </c>
    </row>
    <row r="333" spans="5:14" x14ac:dyDescent="0.25">
      <c r="E333">
        <v>331</v>
      </c>
      <c r="F333">
        <f>dz.*E333</f>
        <v>7.5259878242632645</v>
      </c>
      <c r="G333">
        <f>G332+L332*dz.</f>
        <v>2.8892259072067095</v>
      </c>
      <c r="H333">
        <f>H332+M332*dz.</f>
        <v>314.55608634805793</v>
      </c>
      <c r="I333">
        <f>I332+N332*dz.</f>
        <v>313.56899662680649</v>
      </c>
      <c r="J333">
        <f>(10^(AntA.-AntB./(AntC.+(H333-273.15)))*101325/760)</f>
        <v>7928.0809404387737</v>
      </c>
      <c r="K333">
        <f>(J333/(R.*H333)-G333)</f>
        <v>0.14229077465844098</v>
      </c>
      <c r="L333">
        <f>a.*kc./G.*K333</f>
        <v>0.12204773559974845</v>
      </c>
      <c r="M333">
        <f>a.*h./(L.*Cpw.)*(H333-I333)+a.*lambda.*kc./(L.*Cpw.)*K333</f>
        <v>0.71067266109691873</v>
      </c>
      <c r="N333">
        <f>a.*kc./G.*(H333-I333)</f>
        <v>0.84666111068485961</v>
      </c>
    </row>
    <row r="334" spans="5:14" x14ac:dyDescent="0.25">
      <c r="E334">
        <v>332</v>
      </c>
      <c r="F334">
        <f>dz.*E334</f>
        <v>7.5487249475994069</v>
      </c>
      <c r="G334">
        <f>G333+L333*dz.</f>
        <v>2.892000921623938</v>
      </c>
      <c r="H334">
        <f>H333+M333*dz.</f>
        <v>314.5722450000049</v>
      </c>
      <c r="I334">
        <f>I333+N333*dz.</f>
        <v>313.58824726490406</v>
      </c>
      <c r="J334">
        <f>(10^(AntA.-AntB./(AntC.+(H334-273.15)))*101325/760)</f>
        <v>7934.8420478253629</v>
      </c>
      <c r="K334">
        <f>(J334/(R.*H334)-G334)</f>
        <v>0.14194520004390832</v>
      </c>
      <c r="L334">
        <f>a.*kc./G.*K334</f>
        <v>0.12175132425976025</v>
      </c>
      <c r="M334">
        <f>a.*h./(L.*Cpw.)*(H334-I334)+a.*lambda.*kc./(L.*Cpw.)*K334</f>
        <v>0.70886368772522057</v>
      </c>
      <c r="N334">
        <f>a.*kc./G.*(H334-I334)</f>
        <v>0.8440090068566839</v>
      </c>
    </row>
    <row r="335" spans="5:14" x14ac:dyDescent="0.25">
      <c r="E335">
        <v>333</v>
      </c>
      <c r="F335">
        <f>dz.*E335</f>
        <v>7.5714620709355493</v>
      </c>
      <c r="G335">
        <f>G334+L334*dz.</f>
        <v>2.8947691964999707</v>
      </c>
      <c r="H335">
        <f>H334+M334*dz.</f>
        <v>314.5883625211012</v>
      </c>
      <c r="I335">
        <f>I334+N334*dz.</f>
        <v>313.6074376017898</v>
      </c>
      <c r="J335">
        <f>(10^(AntA.-AntB./(AntC.+(H335-273.15)))*101325/760)</f>
        <v>7941.5908962173289</v>
      </c>
      <c r="K335">
        <f>(J335/(R.*H335)-G335)</f>
        <v>0.14160182530985965</v>
      </c>
      <c r="L335">
        <f>a.*kc./G.*K335</f>
        <v>0.12145679983360962</v>
      </c>
      <c r="M335">
        <f>a.*h./(L.*Cpw.)*(H335-I335)+a.*lambda.*kc./(L.*Cpw.)*K335</f>
        <v>0.70706616876315842</v>
      </c>
      <c r="N335">
        <f>a.*kc./G.*(H335-I335)</f>
        <v>0.84137334611257586</v>
      </c>
    </row>
    <row r="336" spans="5:14" x14ac:dyDescent="0.25">
      <c r="E336">
        <v>334</v>
      </c>
      <c r="F336">
        <f>dz.*E336</f>
        <v>7.5941991942716927</v>
      </c>
      <c r="G336">
        <f>G335+L335*dz.</f>
        <v>2.8975307747378007</v>
      </c>
      <c r="H336">
        <f>H335+M335*dz.</f>
        <v>314.60443917178719</v>
      </c>
      <c r="I336">
        <f>I335+N335*dz.</f>
        <v>313.6265680113321</v>
      </c>
      <c r="J336">
        <f>(10^(AntA.-AntB./(AntC.+(H336-273.15)))*101325/760)</f>
        <v>7948.3275599195258</v>
      </c>
      <c r="K336">
        <f>(J336/(R.*H336)-G336)</f>
        <v>0.14126063509459019</v>
      </c>
      <c r="L336">
        <f>a.*kc./G.*K336</f>
        <v>0.12116414914502924</v>
      </c>
      <c r="M336">
        <f>a.*h./(L.*Cpw.)*(H336-I336)+a.*lambda.*kc./(L.*Cpw.)*K336</f>
        <v>0.70528002666673029</v>
      </c>
      <c r="N336">
        <f>a.*kc./G.*(H336-I336)</f>
        <v>0.83875403116137792</v>
      </c>
    </row>
    <row r="337" spans="5:14" x14ac:dyDescent="0.25">
      <c r="E337">
        <v>335</v>
      </c>
      <c r="F337">
        <f>dz.*E337</f>
        <v>7.6169363176078351</v>
      </c>
      <c r="G337">
        <f>G336+L336*dz.</f>
        <v>2.9002856989408299</v>
      </c>
      <c r="H337">
        <f>H336+M336*dz.</f>
        <v>314.62047521074004</v>
      </c>
      <c r="I337">
        <f>I336+N336*dz.</f>
        <v>313.64563886518732</v>
      </c>
      <c r="J337">
        <f>(10^(AntA.-AntB./(AntC.+(H337-273.15)))*101325/760)</f>
        <v>7955.0521128678256</v>
      </c>
      <c r="K337">
        <f>(J337/(R.*H337)-G337)</f>
        <v>0.14092161419479643</v>
      </c>
      <c r="L337">
        <f>a.*kc./G.*K337</f>
        <v>0.12087335915361806</v>
      </c>
      <c r="M337">
        <f>a.*h./(L.*Cpw.)*(H337-I337)+a.*lambda.*kc./(L.*Cpw.)*K337</f>
        <v>0.70350518460541112</v>
      </c>
      <c r="N337">
        <f>a.*kc./G.*(H337-I337)</f>
        <v>0.83615096509691444</v>
      </c>
    </row>
    <row r="338" spans="5:14" x14ac:dyDescent="0.25">
      <c r="E338">
        <v>336</v>
      </c>
      <c r="F338">
        <f>dz.*E338</f>
        <v>7.6396734409439784</v>
      </c>
      <c r="G338">
        <f>G337+L337*dz.</f>
        <v>2.9030340114159596</v>
      </c>
      <c r="H338">
        <f>H337+M337*dz.</f>
        <v>314.63647089489001</v>
      </c>
      <c r="I338">
        <f>I337+N337*dz.</f>
        <v>313.66465053280837</v>
      </c>
      <c r="J338">
        <f>(10^(AntA.-AntB./(AntC.+(H338-273.15)))*101325/760)</f>
        <v>7961.764628632066</v>
      </c>
      <c r="K338">
        <f>(J338/(R.*H338)-G338)</f>
        <v>0.14058474756362571</v>
      </c>
      <c r="L338">
        <f>a.*kc./G.*K338</f>
        <v>0.12058441695316836</v>
      </c>
      <c r="M338">
        <f>a.*h./(L.*Cpw.)*(H338-I338)+a.*lambda.*kc./(L.*Cpw.)*K338</f>
        <v>0.70174156645495078</v>
      </c>
      <c r="N338">
        <f>a.*kc./G.*(H338-I338)</f>
        <v>0.83356405140462264</v>
      </c>
    </row>
    <row r="339" spans="5:14" x14ac:dyDescent="0.25">
      <c r="E339">
        <v>337</v>
      </c>
      <c r="F339">
        <f>dz.*E339</f>
        <v>7.6624105642801208</v>
      </c>
      <c r="G339">
        <f>G338+L338*dz.</f>
        <v>2.9057757541766405</v>
      </c>
      <c r="H339">
        <f>H338+M338*dz.</f>
        <v>314.6524264794366</v>
      </c>
      <c r="I339">
        <f>I338+N338*dz.</f>
        <v>313.68360338145374</v>
      </c>
      <c r="J339">
        <f>(10^(AntA.-AntB./(AntC.+(H339-273.15)))*101325/760)</f>
        <v>7968.465180418817</v>
      </c>
      <c r="K339">
        <f>(J339/(R.*H339)-G339)</f>
        <v>0.14025002030870448</v>
      </c>
      <c r="L339">
        <f>a.*kc./G.*K339</f>
        <v>0.12029730976997452</v>
      </c>
      <c r="M339">
        <f>a.*h./(L.*Cpw.)*(H339-I339)+a.*lambda.*kc./(L.*Cpw.)*K339</f>
        <v>0.69998909679000321</v>
      </c>
      <c r="N339">
        <f>a.*kc./G.*(H339-I339)</f>
        <v>0.8309931939675983</v>
      </c>
    </row>
    <row r="340" spans="5:14" x14ac:dyDescent="0.25">
      <c r="E340">
        <v>338</v>
      </c>
      <c r="F340">
        <f>dz.*E340</f>
        <v>7.6851476876162641</v>
      </c>
      <c r="G340">
        <f>G339+L339*dz.</f>
        <v>2.9085109689458863</v>
      </c>
      <c r="H340">
        <f>H339+M339*dz.</f>
        <v>314.66834221786428</v>
      </c>
      <c r="I340">
        <f>I339+N339*dz.</f>
        <v>313.70249777619648</v>
      </c>
      <c r="J340">
        <f>(10^(AntA.-AntB./(AntC.+(H340-273.15)))*101325/760)</f>
        <v>7975.1538410741196</v>
      </c>
      <c r="K340">
        <f>(J340/(R.*H340)-G340)</f>
        <v>0.13991741769019139</v>
      </c>
      <c r="L340">
        <f>a.*kc./G.*K340</f>
        <v>0.12001202496116305</v>
      </c>
      <c r="M340">
        <f>a.*h./(L.*Cpw.)*(H340-I340)+a.*lambda.*kc./(L.*Cpw.)*K340</f>
        <v>0.69824770087683097</v>
      </c>
      <c r="N340">
        <f>a.*kc./G.*(H340-I340)</f>
        <v>0.82843829707244654</v>
      </c>
    </row>
    <row r="341" spans="5:14" x14ac:dyDescent="0.25">
      <c r="E341">
        <v>339</v>
      </c>
      <c r="F341">
        <f>dz.*E341</f>
        <v>7.7078848109524065</v>
      </c>
      <c r="G341">
        <f>G340+L340*dz.</f>
        <v>2.9112396971592487</v>
      </c>
      <c r="H341">
        <f>H340+M340*dz.</f>
        <v>314.6842183619583</v>
      </c>
      <c r="I341">
        <f>I340+N340*dz.</f>
        <v>313.7213340799334</v>
      </c>
      <c r="J341">
        <f>(10^(AntA.-AntB./(AntC.+(H341-273.15)))*101325/760)</f>
        <v>7981.8306830863739</v>
      </c>
      <c r="K341">
        <f>(J341/(R.*H341)-G341)</f>
        <v>0.13958692511892501</v>
      </c>
      <c r="L341">
        <f>a.*kc./G.*K341</f>
        <v>0.11972855001310388</v>
      </c>
      <c r="M341">
        <f>a.*h./(L.*Cpw.)*(H341-I341)+a.*lambda.*kc./(L.*Cpw.)*K341</f>
        <v>0.69651730466637685</v>
      </c>
      <c r="N341">
        <f>a.*kc./G.*(H341-I341)</f>
        <v>0.82589926541493774</v>
      </c>
    </row>
    <row r="342" spans="5:14" x14ac:dyDescent="0.25">
      <c r="E342">
        <v>340</v>
      </c>
      <c r="F342">
        <f>dz.*E342</f>
        <v>7.7306219342885489</v>
      </c>
      <c r="G342">
        <f>G341+L341*dz.</f>
        <v>2.9139619799677541</v>
      </c>
      <c r="H342">
        <f>H341+M341*dz.</f>
        <v>314.70005516182027</v>
      </c>
      <c r="I342">
        <f>I341+N341*dz.</f>
        <v>313.74011265339436</v>
      </c>
      <c r="J342">
        <f>(10^(AntA.-AntB./(AntC.+(H342-273.15)))*101325/760)</f>
        <v>7988.4957785890047</v>
      </c>
      <c r="K342">
        <f>(J342/(R.*H342)-G342)</f>
        <v>0.13925852815451734</v>
      </c>
      <c r="L342">
        <f>a.*kc./G.*K342</f>
        <v>0.11944687253977507</v>
      </c>
      <c r="M342">
        <f>a.*h./(L.*Cpw.)*(H342-I342)+a.*lambda.*kc./(L.*Cpw.)*K342</f>
        <v>0.69479783478706902</v>
      </c>
      <c r="N342">
        <f>a.*kc./G.*(H342-I342)</f>
        <v>0.82337600410537071</v>
      </c>
    </row>
    <row r="343" spans="5:14" x14ac:dyDescent="0.25">
      <c r="E343">
        <v>341</v>
      </c>
      <c r="F343">
        <f>dz.*E343</f>
        <v>7.7533590576246922</v>
      </c>
      <c r="G343">
        <f>G342+L342*dz.</f>
        <v>2.9166778582408073</v>
      </c>
      <c r="H343">
        <f>H342+M342*dz.</f>
        <v>314.71585286588351</v>
      </c>
      <c r="I343">
        <f>I342+N342*dz.</f>
        <v>313.75883385515175</v>
      </c>
      <c r="J343">
        <f>(10^(AntA.-AntB./(AntC.+(H343-273.15)))*101325/760)</f>
        <v>7995.149199363228</v>
      </c>
      <c r="K343">
        <f>(J343/(R.*H343)-G343)</f>
        <v>0.13893221250353394</v>
      </c>
      <c r="L343">
        <f>a.*kc./G.*K343</f>
        <v>0.11916698028120187</v>
      </c>
      <c r="M343">
        <f>a.*h./(L.*Cpw.)*(H343-I343)+a.*lambda.*kc./(L.*Cpw.)*K343</f>
        <v>0.69308921853794636</v>
      </c>
      <c r="N343">
        <f>a.*kc./G.*(H343-I343)</f>
        <v>0.82086841867364324</v>
      </c>
    </row>
    <row r="344" spans="5:14" x14ac:dyDescent="0.25">
      <c r="E344">
        <v>342</v>
      </c>
      <c r="F344">
        <f>dz.*E344</f>
        <v>7.7760961809608347</v>
      </c>
      <c r="G344">
        <f>G343+L343*dz.</f>
        <v>2.9193873725690564</v>
      </c>
      <c r="H344">
        <f>H343+M343*dz.</f>
        <v>314.73161172092836</v>
      </c>
      <c r="I344">
        <f>I343+N343*dz.</f>
        <v>313.77749804162988</v>
      </c>
      <c r="J344">
        <f>(10^(AntA.-AntB./(AntC.+(H344-273.15)))*101325/760)</f>
        <v>8001.7910168408253</v>
      </c>
      <c r="K344">
        <f>(J344/(R.*H344)-G344)</f>
        <v>0.13860796401769537</v>
      </c>
      <c r="L344">
        <f>a.*kc./G.*K344</f>
        <v>0.11888886110191398</v>
      </c>
      <c r="M344">
        <f>a.*h./(L.*Cpw.)*(H344-I344)+a.*lambda.*kc./(L.*Cpw.)*K344</f>
        <v>0.69139138388187282</v>
      </c>
      <c r="N344">
        <f>a.*kc./G.*(H344-I344)</f>
        <v>0.81837641507432268</v>
      </c>
    </row>
    <row r="345" spans="5:14" x14ac:dyDescent="0.25">
      <c r="E345">
        <v>343</v>
      </c>
      <c r="F345">
        <f>dz.*E345</f>
        <v>7.798833304296978</v>
      </c>
      <c r="G345">
        <f>G344+L344*dz.</f>
        <v>2.9220905632672243</v>
      </c>
      <c r="H345">
        <f>H344+M344*dz.</f>
        <v>314.74733197209724</v>
      </c>
      <c r="I345">
        <f>I344+N344*dz.</f>
        <v>313.79610556711481</v>
      </c>
      <c r="J345">
        <f>(10^(AntA.-AntB./(AntC.+(H345-273.15)))*101325/760)</f>
        <v>8008.4213021067317</v>
      </c>
      <c r="K345">
        <f>(J345/(R.*H345)-G345)</f>
        <v>0.13828576869206</v>
      </c>
      <c r="L345">
        <f>a.*kc./G.*K345</f>
        <v>0.11861250298938691</v>
      </c>
      <c r="M345">
        <f>a.*h./(L.*Cpw.)*(H345-I345)+a.*lambda.*kc./(L.*Cpw.)*K345</f>
        <v>0.6897042594385917</v>
      </c>
      <c r="N345">
        <f>a.*kc./G.*(H345-I345)</f>
        <v>0.8158998996911323</v>
      </c>
    </row>
    <row r="346" spans="5:14" x14ac:dyDescent="0.25">
      <c r="E346">
        <v>344</v>
      </c>
      <c r="F346">
        <f>dz.*E346</f>
        <v>7.8215704276331204</v>
      </c>
      <c r="G346">
        <f>G345+L345*dz.</f>
        <v>2.9247874703769026</v>
      </c>
      <c r="H346">
        <f>H345+M345*dz.</f>
        <v>314.76301386290959</v>
      </c>
      <c r="I346">
        <f>I345+N345*dz.</f>
        <v>313.81465678376401</v>
      </c>
      <c r="J346">
        <f>(10^(AntA.-AntB./(AntC.+(H346-273.15)))*101325/760)</f>
        <v>8015.040125901799</v>
      </c>
      <c r="K346">
        <f>(J346/(R.*H346)-G346)</f>
        <v>0.13796561266329421</v>
      </c>
      <c r="L346">
        <f>a.*kc./G.*K346</f>
        <v>0.11833789405255832</v>
      </c>
      <c r="M346">
        <f>a.*h./(L.*Cpw.)*(H346-I346)+a.*lambda.*kc./(L.*Cpw.)*K346</f>
        <v>0.68802777447814523</v>
      </c>
      <c r="N346">
        <f>a.*kc./G.*(H346-I346)</f>
        <v>0.8134387793414356</v>
      </c>
    </row>
    <row r="347" spans="5:14" x14ac:dyDescent="0.25">
      <c r="E347">
        <v>345</v>
      </c>
      <c r="F347">
        <f>dz.*E347</f>
        <v>7.8443075509692637</v>
      </c>
      <c r="G347">
        <f>G346+L346*dz.</f>
        <v>2.927478133669315</v>
      </c>
      <c r="H347">
        <f>H346+M346*dz.</f>
        <v>314.7786576352766</v>
      </c>
      <c r="I347">
        <f>I346+N346*dz.</f>
        <v>313.8331520416163</v>
      </c>
      <c r="J347">
        <f>(10^(AntA.-AntB./(AntC.+(H347-273.15)))*101325/760)</f>
        <v>8021.6475586254428</v>
      </c>
      <c r="K347">
        <f>(J347/(R.*H347)-G347)</f>
        <v>0.13764748220794276</v>
      </c>
      <c r="L347">
        <f>a.*kc./G.*K347</f>
        <v>0.11806502252034434</v>
      </c>
      <c r="M347">
        <f>a.*h./(L.*Cpw.)*(H347-I347)+a.*lambda.*kc./(L.*Cpw.)*K347</f>
        <v>0.68636185891425305</v>
      </c>
      <c r="N347">
        <f>a.*kc./G.*(H347-I347)</f>
        <v>0.81099296128043075</v>
      </c>
    </row>
    <row r="348" spans="5:14" x14ac:dyDescent="0.25">
      <c r="E348">
        <v>346</v>
      </c>
      <c r="F348">
        <f>dz.*E348</f>
        <v>7.8670446743054061</v>
      </c>
      <c r="G348">
        <f>G347+L347*dz.</f>
        <v>2.9301625926480446</v>
      </c>
      <c r="H348">
        <f>H347+M347*dz.</f>
        <v>314.79426352951594</v>
      </c>
      <c r="I348">
        <f>I347+N347*dz.</f>
        <v>313.85159168860167</v>
      </c>
      <c r="J348">
        <f>(10^(AntA.-AntB./(AntC.+(H348-273.15)))*101325/760)</f>
        <v>8028.2436703382364</v>
      </c>
      <c r="K348">
        <f>(J348/(R.*H348)-G348)</f>
        <v>0.13733136374070032</v>
      </c>
      <c r="L348">
        <f>a.*kc./G.*K348</f>
        <v>0.11779387674015715</v>
      </c>
      <c r="M348">
        <f>a.*h./(L.*Cpw.)*(H348-I348)+a.*lambda.*kc./(L.*Cpw.)*K348</f>
        <v>0.68470644329768926</v>
      </c>
      <c r="N348">
        <f>a.*kc./G.*(H348-I348)</f>
        <v>0.80856235320529379</v>
      </c>
    </row>
    <row r="349" spans="5:14" x14ac:dyDescent="0.25">
      <c r="E349">
        <v>347</v>
      </c>
      <c r="F349">
        <f>dz.*E349</f>
        <v>7.8897817976415485</v>
      </c>
      <c r="G349">
        <f>G348+L348*dz.</f>
        <v>2.9328408865517281</v>
      </c>
      <c r="H349">
        <f>H348+M348*dz.</f>
        <v>314.80983178436628</v>
      </c>
      <c r="I349">
        <f>I348+N348*dz.</f>
        <v>313.86997607055144</v>
      </c>
      <c r="J349">
        <f>(10^(AntA.-AntB./(AntC.+(H349-273.15)))*101325/760)</f>
        <v>8034.8285307646402</v>
      </c>
      <c r="K349">
        <f>(J349/(R.*H349)-G349)</f>
        <v>0.13701724381277902</v>
      </c>
      <c r="L349">
        <f>a.*kc./G.*K349</f>
        <v>0.11752444517650464</v>
      </c>
      <c r="M349">
        <f>a.*h./(L.*Cpw.)*(H349-I349)+a.*lambda.*kc./(L.*Cpw.)*K349</f>
        <v>0.68306145881000591</v>
      </c>
      <c r="N349">
        <f>a.*kc./G.*(H349-I349)</f>
        <v>0.8061468632589337</v>
      </c>
    </row>
    <row r="350" spans="5:14" x14ac:dyDescent="0.25">
      <c r="E350">
        <v>348</v>
      </c>
      <c r="F350">
        <f>dz.*E350</f>
        <v>7.9125189209776918</v>
      </c>
      <c r="G350">
        <f>G349+L349*dz.</f>
        <v>2.9355130543567181</v>
      </c>
      <c r="H350">
        <f>H349+M349*dz.</f>
        <v>314.82536263700143</v>
      </c>
      <c r="I350">
        <f>I349+N349*dz.</f>
        <v>313.8883055312084</v>
      </c>
      <c r="J350">
        <f>(10^(AntA.-AntB./(AntC.+(H350-273.15)))*101325/760)</f>
        <v>8041.4022092955101</v>
      </c>
      <c r="K350">
        <f>(J350/(R.*H350)-G350)</f>
        <v>0.13670510911021738</v>
      </c>
      <c r="L350">
        <f>a.*kc./G.*K350</f>
        <v>0.11725671640954</v>
      </c>
      <c r="M350">
        <f>a.*h./(L.*Cpw.)*(H350-I350)+a.*lambda.*kc./(L.*Cpw.)*K350</f>
        <v>0.68142683725696895</v>
      </c>
      <c r="N350">
        <f>a.*kc./G.*(H350-I350)</f>
        <v>0.80374640003345355</v>
      </c>
    </row>
    <row r="351" spans="5:14" x14ac:dyDescent="0.25">
      <c r="E351">
        <v>349</v>
      </c>
      <c r="F351">
        <f>dz.*E351</f>
        <v>7.9352560443138342</v>
      </c>
      <c r="G351">
        <f>G350+L350*dz.</f>
        <v>2.938179134779713</v>
      </c>
      <c r="H351">
        <f>H350+M350*dz.</f>
        <v>314.8408563230447</v>
      </c>
      <c r="I351">
        <f>I350+N350*dz.</f>
        <v>313.90658041223696</v>
      </c>
      <c r="J351">
        <f>(10^(AntA.-AntB./(AntC.+(H351-273.15)))*101325/760)</f>
        <v>8047.9647749907153</v>
      </c>
      <c r="K351">
        <f>(J351/(R.*H351)-G351)</f>
        <v>0.13639494645226291</v>
      </c>
      <c r="L351">
        <f>a.*kc./G.*K351</f>
        <v>0.11699067913367436</v>
      </c>
      <c r="M351">
        <f>a.*h./(L.*Cpw.)*(H351-I351)+a.*lambda.*kc./(L.*Cpw.)*K351</f>
        <v>0.67980251106231826</v>
      </c>
      <c r="N351">
        <f>a.*kc./G.*(H351-I351)</f>
        <v>0.80136087257371003</v>
      </c>
    </row>
    <row r="352" spans="5:14" x14ac:dyDescent="0.25">
      <c r="E352">
        <v>350</v>
      </c>
      <c r="F352">
        <f>dz.*E352</f>
        <v>7.9579931676499776</v>
      </c>
      <c r="G352">
        <f>G351+L351*dz.</f>
        <v>2.9408391662803544</v>
      </c>
      <c r="H352">
        <f>H351+M351*dz.</f>
        <v>314.85631307658292</v>
      </c>
      <c r="I352">
        <f>I351+N351*dz.</f>
        <v>313.92480105323341</v>
      </c>
      <c r="J352">
        <f>(10^(AntA.-AntB./(AntC.+(H352-273.15)))*101325/760)</f>
        <v>8054.5162965817326</v>
      </c>
      <c r="K352">
        <f>(J352/(R.*H352)-G352)</f>
        <v>0.1360867427897805</v>
      </c>
      <c r="L352">
        <f>a.*kc./G.*K352</f>
        <v>0.11672632215621169</v>
      </c>
      <c r="M352">
        <f>a.*h./(L.*Cpw.)*(H352-I352)+a.*lambda.*kc./(L.*Cpw.)*K352</f>
        <v>0.67818841326159096</v>
      </c>
      <c r="N352">
        <f>a.*kc./G.*(H352-I352)</f>
        <v>0.79899019038058006</v>
      </c>
    </row>
    <row r="353" spans="5:14" x14ac:dyDescent="0.25">
      <c r="E353">
        <v>351</v>
      </c>
      <c r="F353">
        <f>dz.*E353</f>
        <v>7.98073029098612</v>
      </c>
      <c r="G353">
        <f>G352+L352*dz.</f>
        <v>2.9434931870637944</v>
      </c>
      <c r="H353">
        <f>H352+M352*dz.</f>
        <v>314.87173313018042</v>
      </c>
      <c r="I353">
        <f>I352+N352*dz.</f>
        <v>313.94296779173646</v>
      </c>
      <c r="J353">
        <f>(10^(AntA.-AntB./(AntC.+(H353-273.15)))*101325/760)</f>
        <v>8061.0568424742141</v>
      </c>
      <c r="K353">
        <f>(J353/(R.*H353)-G353)</f>
        <v>0.1357804852036768</v>
      </c>
      <c r="L353">
        <f>a.*kc./G.*K353</f>
        <v>0.11646363439599726</v>
      </c>
      <c r="M353">
        <f>a.*h./(L.*Cpw.)*(H353-I353)+a.*lambda.*kc./(L.*Cpw.)*K353</f>
        <v>0.67658447749596662</v>
      </c>
      <c r="N353">
        <f>a.*kc./G.*(H353-I353)</f>
        <v>0.79663426341388599</v>
      </c>
    </row>
    <row r="354" spans="5:14" x14ac:dyDescent="0.25">
      <c r="E354">
        <v>352</v>
      </c>
      <c r="F354">
        <f>dz.*E354</f>
        <v>8.0034674143222624</v>
      </c>
      <c r="G354">
        <f>G353+L353*dz.</f>
        <v>2.9461412350832314</v>
      </c>
      <c r="H354">
        <f>H353+M353*dz.</f>
        <v>314.88711671489256</v>
      </c>
      <c r="I354">
        <f>I353+N353*dz.</f>
        <v>313.96108096323752</v>
      </c>
      <c r="J354">
        <f>(10^(AntA.-AntB./(AntC.+(H354-273.15)))*101325/760)</f>
        <v>8067.5864807504349</v>
      </c>
      <c r="K354">
        <f>(J354/(R.*H354)-G354)</f>
        <v>0.13547616090331394</v>
      </c>
      <c r="L354">
        <f>a.*kc./G.*K354</f>
        <v>0.11620260488205708</v>
      </c>
      <c r="M354">
        <f>a.*h./(L.*Cpw.)*(H354-I354)+a.*lambda.*kc./(L.*Cpw.)*K354</f>
        <v>0.67499063800605197</v>
      </c>
      <c r="N354">
        <f>a.*kc./G.*(H354-I354)</f>
        <v>0.79429300209522402</v>
      </c>
    </row>
    <row r="355" spans="5:14" x14ac:dyDescent="0.25">
      <c r="E355">
        <v>353</v>
      </c>
      <c r="F355">
        <f>dz.*E355</f>
        <v>8.0262045376584048</v>
      </c>
      <c r="G355">
        <f>G354+L354*dz.</f>
        <v>2.9487833480424159</v>
      </c>
      <c r="H355">
        <f>H354+M354*dz.</f>
        <v>314.90246406027967</v>
      </c>
      <c r="I355">
        <f>I354+N354*dz.</f>
        <v>313.97914090119122</v>
      </c>
      <c r="J355">
        <f>(10^(AntA.-AntB./(AntC.+(H355-273.15)))*101325/760)</f>
        <v>8074.1052791719421</v>
      </c>
      <c r="K355">
        <f>(J355/(R.*H355)-G355)</f>
        <v>0.13517375722502534</v>
      </c>
      <c r="L355">
        <f>a.*kc./G.*K355</f>
        <v>0.11594322275232483</v>
      </c>
      <c r="M355">
        <f>a.*h./(L.*Cpw.)*(H355-I355)+a.*lambda.*kc./(L.*Cpw.)*K355</f>
        <v>0.6734068296261001</v>
      </c>
      <c r="N355">
        <f>a.*kc./G.*(H355-I355)</f>
        <v>0.79196631731084033</v>
      </c>
    </row>
    <row r="356" spans="5:14" x14ac:dyDescent="0.25">
      <c r="E356">
        <v>354</v>
      </c>
      <c r="F356">
        <f>dz.*E356</f>
        <v>8.048941660994549</v>
      </c>
      <c r="G356">
        <f>G355+L355*dz.</f>
        <v>2.9514195633981255</v>
      </c>
      <c r="H356">
        <f>H355+M355*dz.</f>
        <v>314.91777539442029</v>
      </c>
      <c r="I356">
        <f>I355+N355*dz.</f>
        <v>313.997147937026</v>
      </c>
      <c r="J356">
        <f>(10^(AntA.-AntB./(AntC.+(H356-273.15)))*101325/760)</f>
        <v>8080.6133051819361</v>
      </c>
      <c r="K356">
        <f>(J356/(R.*H356)-G356)</f>
        <v>0.13487326163056323</v>
      </c>
      <c r="L356">
        <f>a.*kc./G.*K356</f>
        <v>0.11568547725231025</v>
      </c>
      <c r="M356">
        <f>a.*h./(L.*Cpw.)*(H356-I356)+a.*lambda.*kc./(L.*Cpw.)*K356</f>
        <v>0.67183298777786149</v>
      </c>
      <c r="N356">
        <f>a.*kc./G.*(H356-I356)</f>
        <v>0.78965412041392269</v>
      </c>
    </row>
    <row r="357" spans="5:14" x14ac:dyDescent="0.25">
      <c r="E357">
        <v>355</v>
      </c>
      <c r="F357">
        <f>dz.*E357</f>
        <v>8.0716787843306914</v>
      </c>
      <c r="G357">
        <f>G356+L356*dz.</f>
        <v>2.9540499183626117</v>
      </c>
      <c r="H357">
        <f>H356+M356*dz.</f>
        <v>314.93305094392468</v>
      </c>
      <c r="I357">
        <f>I356+N356*dz.</f>
        <v>314.01510240015472</v>
      </c>
      <c r="J357">
        <f>(10^(AntA.-AntB./(AntC.+(H357-273.15)))*101325/760)</f>
        <v>8087.1106259078078</v>
      </c>
      <c r="K357">
        <f>(J357/(R.*H357)-G357)</f>
        <v>0.13457466170563226</v>
      </c>
      <c r="L357">
        <f>a.*kc./G.*K357</f>
        <v>0.1154293577338414</v>
      </c>
      <c r="M357">
        <f>a.*h./(L.*Cpw.)*(H357-I357)+a.*lambda.*kc./(L.*Cpw.)*K357</f>
        <v>0.67026904846482904</v>
      </c>
      <c r="N357">
        <f>a.*kc./G.*(H357-I357)</f>
        <v>0.787356323227136</v>
      </c>
    </row>
    <row r="358" spans="5:14" x14ac:dyDescent="0.25">
      <c r="E358">
        <v>356</v>
      </c>
      <c r="F358">
        <f>dz.*E358</f>
        <v>8.0944159076668338</v>
      </c>
      <c r="G358">
        <f>G357+L357*dz.</f>
        <v>2.9566744499060178</v>
      </c>
      <c r="H358">
        <f>H357+M357*dz.</f>
        <v>314.94829093394804</v>
      </c>
      <c r="I358">
        <f>I357+N357*dz.</f>
        <v>314.0330046179854</v>
      </c>
      <c r="J358">
        <f>(10^(AntA.-AntB./(AntC.+(H358-273.15)))*101325/760)</f>
        <v>8093.5973081636675</v>
      </c>
      <c r="K358">
        <f>(J358/(R.*H358)-G358)</f>
        <v>0.1342779451584466</v>
      </c>
      <c r="L358">
        <f>a.*kc./G.*K358</f>
        <v>0.11517485365382699</v>
      </c>
      <c r="M358">
        <f>a.*h./(L.*Cpw.)*(H358-I358)+a.*lambda.*kc./(L.*Cpw.)*K358</f>
        <v>0.66871494826651279</v>
      </c>
      <c r="N358">
        <f>a.*kc./G.*(H358-I358)</f>
        <v>0.78507283804466999</v>
      </c>
    </row>
    <row r="359" spans="5:14" x14ac:dyDescent="0.25">
      <c r="E359">
        <v>357</v>
      </c>
      <c r="F359">
        <f>dz.*E359</f>
        <v>8.1171530310029762</v>
      </c>
      <c r="G359">
        <f>G358+L358*dz.</f>
        <v>2.9592931947587671</v>
      </c>
      <c r="H359">
        <f>H358+M358*dz.</f>
        <v>314.9634955882035</v>
      </c>
      <c r="I359">
        <f>I358+N358*dz.</f>
        <v>314.05085491593189</v>
      </c>
      <c r="J359">
        <f>(10^(AntA.-AntB./(AntC.+(H359-273.15)))*101325/760)</f>
        <v>8100.0734184526573</v>
      </c>
      <c r="K359">
        <f>(J359/(R.*H359)-G359)</f>
        <v>0.13398309981823564</v>
      </c>
      <c r="L359">
        <f>a.*kc./G.*K359</f>
        <v>0.11492195457297466</v>
      </c>
      <c r="M359">
        <f>a.*h./(L.*Cpw.)*(H359-I359)+a.*lambda.*kc./(L.*Cpw.)*K359</f>
        <v>0.66717062433250018</v>
      </c>
      <c r="N359">
        <f>a.*kc./G.*(H359-I359)</f>
        <v>0.7828035776342871</v>
      </c>
    </row>
    <row r="360" spans="5:14" x14ac:dyDescent="0.25">
      <c r="E360">
        <v>358</v>
      </c>
      <c r="F360">
        <f>dz.*E360</f>
        <v>8.1398901543391204</v>
      </c>
      <c r="G360">
        <f>G359+L359*dz.</f>
        <v>2.9619061894139236</v>
      </c>
      <c r="H360">
        <f>H359+M359*dz.</f>
        <v>314.97866512897519</v>
      </c>
      <c r="I360">
        <f>I359+N359*dz.</f>
        <v>314.06865361742456</v>
      </c>
      <c r="J360">
        <f>(10^(AntA.-AntB./(AntC.+(H360-273.15)))*101325/760)</f>
        <v>8106.5390229695331</v>
      </c>
      <c r="K360">
        <f>(J360/(R.*H360)-G360)</f>
        <v>0.1336901136338815</v>
      </c>
      <c r="L360">
        <f>a.*kc./G.*K360</f>
        <v>0.11467065015462238</v>
      </c>
      <c r="M360">
        <f>a.*h./(L.*Cpw.)*(H360-I360)+a.*lambda.*kc./(L.*Cpw.)*K360</f>
        <v>0.66563601437706521</v>
      </c>
      <c r="N360">
        <f>a.*kc./G.*(H360-I360)</f>
        <v>0.78054845523937</v>
      </c>
    </row>
    <row r="361" spans="5:14" x14ac:dyDescent="0.25">
      <c r="E361">
        <v>359</v>
      </c>
      <c r="F361">
        <f>dz.*E361</f>
        <v>8.1626272776752629</v>
      </c>
      <c r="G361">
        <f>G360+L360*dz.</f>
        <v>2.9645134701295248</v>
      </c>
      <c r="H361">
        <f>H360+M360*dz.</f>
        <v>314.99379977713107</v>
      </c>
      <c r="I361">
        <f>I360+N360*dz.</f>
        <v>314.08640104392117</v>
      </c>
      <c r="J361">
        <f>(10^(AntA.-AntB./(AntC.+(H361-273.15)))*101325/760)</f>
        <v>8112.9941876029607</v>
      </c>
      <c r="K361">
        <f>(J361/(R.*H361)-G361)</f>
        <v>0.13339897467246997</v>
      </c>
      <c r="L361">
        <f>a.*kc./G.*K361</f>
        <v>0.11442093016349553</v>
      </c>
      <c r="M361">
        <f>a.*h./(L.*Cpw.)*(H361-I361)+a.*lambda.*kc./(L.*Cpw.)*K361</f>
        <v>0.66411105667335657</v>
      </c>
      <c r="N361">
        <f>a.*kc./G.*(H361-I361)</f>
        <v>0.7783073845805305</v>
      </c>
    </row>
    <row r="362" spans="5:14" x14ac:dyDescent="0.25">
      <c r="E362">
        <v>360</v>
      </c>
      <c r="F362">
        <f>dz.*E362</f>
        <v>8.1853644010114053</v>
      </c>
      <c r="G362">
        <f>G361+L361*dz.</f>
        <v>2.9671150729308886</v>
      </c>
      <c r="H362">
        <f>H361+M361*dz.</f>
        <v>315.00889975213556</v>
      </c>
      <c r="I362">
        <f>I361+N361*dz.</f>
        <v>314.10409751491778</v>
      </c>
      <c r="J362">
        <f>(10^(AntA.-AntB./(AntC.+(H362-273.15)))*101325/760)</f>
        <v>8119.438977938009</v>
      </c>
      <c r="K362">
        <f>(J362/(R.*H362)-G362)</f>
        <v>0.13310967111794669</v>
      </c>
      <c r="L362">
        <f>a.*kc./G.*K362</f>
        <v>0.11417278446455419</v>
      </c>
      <c r="M362">
        <f>a.*h./(L.*Cpw.)*(H362-I362)+a.*lambda.*kc./(L.*Cpw.)*K362</f>
        <v>0.66259569004801755</v>
      </c>
      <c r="N362">
        <f>a.*kc./G.*(H362-I362)</f>
        <v>0.77608027985717043</v>
      </c>
    </row>
    <row r="363" spans="5:14" x14ac:dyDescent="0.25">
      <c r="E363">
        <v>361</v>
      </c>
      <c r="F363">
        <f>dz.*E363</f>
        <v>8.2081015243475477</v>
      </c>
      <c r="G363">
        <f>G362+L362*dz.</f>
        <v>2.96971103361289</v>
      </c>
      <c r="H363">
        <f>H362+M362*dz.</f>
        <v>315.02396527206218</v>
      </c>
      <c r="I363">
        <f>I362+N362*dz.</f>
        <v>314.12174334795964</v>
      </c>
      <c r="J363">
        <f>(10^(AntA.-AntB./(AntC.+(H363-273.15)))*101325/760)</f>
        <v>8125.8734592584988</v>
      </c>
      <c r="K363">
        <f>(J363/(R.*H363)-G363)</f>
        <v>0.13282219126974582</v>
      </c>
      <c r="L363">
        <f>a.*kc./G.*K363</f>
        <v>0.11392620302181695</v>
      </c>
      <c r="M363">
        <f>a.*h./(L.*Cpw.)*(H363-I363)+a.*lambda.*kc./(L.*Cpw.)*K363</f>
        <v>0.66108985387567587</v>
      </c>
      <c r="N363">
        <f>a.*kc./G.*(H363-I363)</f>
        <v>0.77386705574894354</v>
      </c>
    </row>
    <row r="364" spans="5:14" x14ac:dyDescent="0.25">
      <c r="E364">
        <v>362</v>
      </c>
      <c r="F364">
        <f>dz.*E364</f>
        <v>8.2308386476836901</v>
      </c>
      <c r="G364">
        <f>G363+L363*dz.</f>
        <v>2.9723013877422155</v>
      </c>
      <c r="H364">
        <f>H363+M363*dz.</f>
        <v>315.03899655360601</v>
      </c>
      <c r="I364">
        <f>I363+N363*dz.</f>
        <v>314.13933885865197</v>
      </c>
      <c r="J364">
        <f>(10^(AntA.-AntB./(AntC.+(H364-273.15)))*101325/760)</f>
        <v>8132.2976965492999</v>
      </c>
      <c r="K364">
        <f>(J364/(R.*H364)-G364)</f>
        <v>0.13253652354142176</v>
      </c>
      <c r="L364">
        <f>a.*kc./G.*K364</f>
        <v>0.11368117589718736</v>
      </c>
      <c r="M364">
        <f>a.*h./(L.*Cpw.)*(H364-I364)+a.*lambda.*kc./(L.*Cpw.)*K364</f>
        <v>0.65959348807344209</v>
      </c>
      <c r="N364">
        <f>a.*kc./G.*(H364-I364)</f>
        <v>0.77166762741716988</v>
      </c>
    </row>
    <row r="365" spans="5:14" x14ac:dyDescent="0.25">
      <c r="E365">
        <v>363</v>
      </c>
      <c r="F365">
        <f>dz.*E365</f>
        <v>8.2535757710198343</v>
      </c>
      <c r="G365">
        <f>G364+L364*dz.</f>
        <v>2.9748861706595875</v>
      </c>
      <c r="H365">
        <f>H364+M364*dz.</f>
        <v>315.05399381209605</v>
      </c>
      <c r="I365">
        <f>I364+N364*dz.</f>
        <v>314.15688436067109</v>
      </c>
      <c r="J365">
        <f>(10^(AntA.-AntB./(AntC.+(H365-273.15)))*101325/760)</f>
        <v>8138.7117544988796</v>
      </c>
      <c r="K365">
        <f>(J365/(R.*H365)-G365)</f>
        <v>0.13225265645940532</v>
      </c>
      <c r="L365">
        <f>a.*kc./G.*K365</f>
        <v>0.11343769324938691</v>
      </c>
      <c r="M365">
        <f>a.*h./(L.*Cpw.)*(H365-I365)+a.*lambda.*kc./(L.*Cpw.)*K365</f>
        <v>0.65810653309588341</v>
      </c>
      <c r="N365">
        <f>a.*kc./G.*(H365-I365)</f>
        <v>0.76948191050595693</v>
      </c>
    </row>
    <row r="366" spans="5:14" x14ac:dyDescent="0.25">
      <c r="E366">
        <v>364</v>
      </c>
      <c r="F366">
        <f>dz.*E366</f>
        <v>8.2763128943559767</v>
      </c>
      <c r="G366">
        <f>G365+L365*dz.</f>
        <v>2.9774654174819664</v>
      </c>
      <c r="H366">
        <f>H365+M365*dz.</f>
        <v>315.06895726150736</v>
      </c>
      <c r="I366">
        <f>I365+N365*dz.</f>
        <v>314.17438016577518</v>
      </c>
      <c r="J366">
        <f>(10^(AntA.-AntB./(AntC.+(H366-273.15)))*101325/760)</f>
        <v>8145.1156975014392</v>
      </c>
      <c r="K366">
        <f>(J366/(R.*H366)-G366)</f>
        <v>0.1319705786616252</v>
      </c>
      <c r="L366">
        <f>a.*kc./G.*K366</f>
        <v>0.11319574533277273</v>
      </c>
      <c r="M366">
        <f>a.*h./(L.*Cpw.)*(H366-I366)+a.*lambda.*kc./(L.*Cpw.)*K366</f>
        <v>0.65662892992943844</v>
      </c>
      <c r="N366">
        <f>a.*kc./G.*(H366-I366)</f>
        <v>0.76730982114332125</v>
      </c>
    </row>
    <row r="367" spans="5:14" x14ac:dyDescent="0.25">
      <c r="E367">
        <v>365</v>
      </c>
      <c r="F367">
        <f>dz.*E367</f>
        <v>8.2990500176921191</v>
      </c>
      <c r="G367">
        <f>G366+L366*dz.</f>
        <v>2.9800391631047241</v>
      </c>
      <c r="H367">
        <f>H366+M366*dz.</f>
        <v>315.08388711447327</v>
      </c>
      <c r="I367">
        <f>I366+N366*dz.</f>
        <v>314.19182658381555</v>
      </c>
      <c r="J367">
        <f>(10^(AntA.-AntB./(AntC.+(H367-273.15)))*101325/760)</f>
        <v>8151.5095896593311</v>
      </c>
      <c r="K367">
        <f>(J367/(R.*H367)-G367)</f>
        <v>0.13169027889626683</v>
      </c>
      <c r="L367">
        <f>a.*kc./G.*K367</f>
        <v>0.11295532249627298</v>
      </c>
      <c r="M367">
        <f>a.*h./(L.*Cpw.)*(H367-I367)+a.*lambda.*kc./(L.*Cpw.)*K367</f>
        <v>0.65516062008736109</v>
      </c>
      <c r="N367">
        <f>a.*kc./G.*(H367-I367)</f>
        <v>0.76515127594201748</v>
      </c>
    </row>
    <row r="368" spans="5:14" x14ac:dyDescent="0.25">
      <c r="E368">
        <v>366</v>
      </c>
      <c r="F368">
        <f>dz.*E368</f>
        <v>8.3217871410282616</v>
      </c>
      <c r="G368">
        <f>G367+L367*dz.</f>
        <v>2.9826074422037956</v>
      </c>
      <c r="H368">
        <f>H367+M367*dz.</f>
        <v>315.09878358229719</v>
      </c>
      <c r="I368">
        <f>I367+N367*dz.</f>
        <v>314.20922392274747</v>
      </c>
      <c r="J368">
        <f>(10^(AntA.-AntB./(AntC.+(H368-273.15)))*101325/760)</f>
        <v>8157.8934947853086</v>
      </c>
      <c r="K368">
        <f>(J368/(R.*H368)-G368)</f>
        <v>0.13141174602048533</v>
      </c>
      <c r="L368">
        <f>a.*kc./G.*K368</f>
        <v>0.11271641518228288</v>
      </c>
      <c r="M368">
        <f>a.*h./(L.*Cpw.)*(H368-I368)+a.*lambda.*kc./(L.*Cpw.)*K368</f>
        <v>0.65370154560448235</v>
      </c>
      <c r="N368">
        <f>a.*kc./G.*(H368-I368)</f>
        <v>0.76300619200041531</v>
      </c>
    </row>
    <row r="369" spans="5:14" x14ac:dyDescent="0.25">
      <c r="E369">
        <v>367</v>
      </c>
      <c r="F369">
        <f>dz.*E369</f>
        <v>8.344524264364404</v>
      </c>
      <c r="G369">
        <f>G368+L368*dz.</f>
        <v>2.9851702892378031</v>
      </c>
      <c r="H369">
        <f>H368+M368*dz.</f>
        <v>315.11364687496462</v>
      </c>
      <c r="I369">
        <f>I368+N368*dz.</f>
        <v>314.22657248864124</v>
      </c>
      <c r="J369">
        <f>(10^(AntA.-AntB./(AntC.+(H369-273.15)))*101325/760)</f>
        <v>8164.2674764049461</v>
      </c>
      <c r="K369">
        <f>(J369/(R.*H369)-G369)</f>
        <v>0.13113496899921318</v>
      </c>
      <c r="L369">
        <f>a.*kc./G.*K369</f>
        <v>0.11247901392564205</v>
      </c>
      <c r="M369">
        <f>a.*h./(L.*Cpw.)*(H369-I369)+a.*lambda.*kc./(L.*Cpw.)*K369</f>
        <v>0.65225164903234489</v>
      </c>
      <c r="N369">
        <f>a.*kc./G.*(H369-I369)</f>
        <v>0.76087448690323156</v>
      </c>
    </row>
    <row r="370" spans="5:14" x14ac:dyDescent="0.25">
      <c r="E370">
        <v>368</v>
      </c>
      <c r="F370">
        <f>dz.*E370</f>
        <v>8.3672613877005482</v>
      </c>
      <c r="G370">
        <f>G369+L369*dz.</f>
        <v>2.9877277384501584</v>
      </c>
      <c r="H370">
        <f>H369+M369*dz.</f>
        <v>315.12847720115485</v>
      </c>
      <c r="I370">
        <f>I369+N369*dz.</f>
        <v>314.24387258569328</v>
      </c>
      <c r="J370">
        <f>(10^(AntA.-AntB./(AntC.+(H370-273.15)))*101325/760)</f>
        <v>8170.6315977587656</v>
      </c>
      <c r="K370">
        <f>(J370/(R.*H370)-G370)</f>
        <v>0.13085993690387454</v>
      </c>
      <c r="L370">
        <f>a.*kc./G.*K370</f>
        <v>0.11224310935253175</v>
      </c>
      <c r="M370">
        <f>a.*h./(L.*Cpw.)*(H370-I370)+a.*lambda.*kc./(L.*Cpw.)*K370</f>
        <v>0.65081087343392885</v>
      </c>
      <c r="N370">
        <f>a.*kc./G.*(H370-I370)</f>
        <v>0.75875607872211481</v>
      </c>
    </row>
    <row r="371" spans="5:14" x14ac:dyDescent="0.25">
      <c r="E371">
        <v>369</v>
      </c>
      <c r="F371">
        <f>dz.*E371</f>
        <v>8.3899985110366906</v>
      </c>
      <c r="G371">
        <f>G370+L370*dz.</f>
        <v>2.990279823871139</v>
      </c>
      <c r="H371">
        <f>H370+M370*dz.</f>
        <v>315.14327476825264</v>
      </c>
      <c r="I371">
        <f>I370+N370*dz.</f>
        <v>314.26112451623726</v>
      </c>
      <c r="J371">
        <f>(10^(AntA.-AntB./(AntC.+(H371-273.15)))*101325/760)</f>
        <v>8176.9859218045749</v>
      </c>
      <c r="K371">
        <f>(J371/(R.*H371)-G371)</f>
        <v>0.13058663891121114</v>
      </c>
      <c r="L371">
        <f>a.*kc./G.*K371</f>
        <v>0.1120086921794677</v>
      </c>
      <c r="M371">
        <f>a.*h./(L.*Cpw.)*(H371-I371)+a.*lambda.*kc./(L.*Cpw.)*K371</f>
        <v>0.64937916237882198</v>
      </c>
      <c r="N371">
        <f>a.*kc./G.*(H371-I371)</f>
        <v>0.75665088601608443</v>
      </c>
    </row>
    <row r="372" spans="5:14" x14ac:dyDescent="0.25">
      <c r="E372">
        <v>370</v>
      </c>
      <c r="F372">
        <f>dz.*E372</f>
        <v>8.412735634372833</v>
      </c>
      <c r="G372">
        <f>G371+L371*dz.</f>
        <v>2.9928265793199436</v>
      </c>
      <c r="H372">
        <f>H371+M371*dz.</f>
        <v>315.15803978235959</v>
      </c>
      <c r="I372">
        <f>I371+N371*dz.</f>
        <v>314.27832858075499</v>
      </c>
      <c r="J372">
        <f>(10^(AntA.-AntB./(AntC.+(H372-273.15)))*101325/760)</f>
        <v>8183.3305112196967</v>
      </c>
      <c r="K372">
        <f>(J372/(R.*H372)-G372)</f>
        <v>0.13031506430208095</v>
      </c>
      <c r="L372">
        <f>a.*kc./G.*K372</f>
        <v>0.1117757532122698</v>
      </c>
      <c r="M372">
        <f>a.*h./(L.*Cpw.)*(H372-I372)+a.*lambda.*kc./(L.*Cpw.)*K372</f>
        <v>0.64795645993827644</v>
      </c>
      <c r="N372">
        <f>a.*kc./G.*(H372-I372)</f>
        <v>0.75455882783196926</v>
      </c>
    </row>
    <row r="373" spans="5:14" x14ac:dyDescent="0.25">
      <c r="E373">
        <v>371</v>
      </c>
      <c r="F373">
        <f>dz.*E373</f>
        <v>8.4354727577089754</v>
      </c>
      <c r="G373">
        <f>G372+L372*dz.</f>
        <v>2.9953680384067214</v>
      </c>
      <c r="H373">
        <f>H372+M372*dz.</f>
        <v>315.17277244830564</v>
      </c>
      <c r="I373">
        <f>I372+N372*dz.</f>
        <v>314.2954850778878</v>
      </c>
      <c r="J373">
        <f>(10^(AntA.-AntB./(AntC.+(H373-273.15)))*101325/760)</f>
        <v>8189.6654284031893</v>
      </c>
      <c r="K373">
        <f>(J373/(R.*H373)-G373)</f>
        <v>0.13004520246028584</v>
      </c>
      <c r="L373">
        <f>a.*kc./G.*K373</f>
        <v>0.11154428334505648</v>
      </c>
      <c r="M373">
        <f>a.*h./(L.*Cpw.)*(H373-I373)+a.*lambda.*kc./(L.*Cpw.)*K373</f>
        <v>0.64654271068033187</v>
      </c>
      <c r="N373">
        <f>a.*kc./G.*(H373-I373)</f>
        <v>0.75247982370445621</v>
      </c>
    </row>
    <row r="374" spans="5:14" x14ac:dyDescent="0.25">
      <c r="E374">
        <v>372</v>
      </c>
      <c r="F374">
        <f>dz.*E374</f>
        <v>8.4582098810451178</v>
      </c>
      <c r="G374">
        <f>G373+L373*dz.</f>
        <v>2.9979042345345794</v>
      </c>
      <c r="H374">
        <f>H373+M373*dz.</f>
        <v>315.18747296966046</v>
      </c>
      <c r="I374">
        <f>I373+N373*dz.</f>
        <v>314.31259430444732</v>
      </c>
      <c r="J374">
        <f>(10^(AntA.-AntB./(AntC.+(H374-273.15)))*101325/760)</f>
        <v>8195.9907354781117</v>
      </c>
      <c r="K374">
        <f>(J374/(R.*H374)-G374)</f>
        <v>0.12977704287142844</v>
      </c>
      <c r="L374">
        <f>a.*kc./G.*K374</f>
        <v>0.1113142735592642</v>
      </c>
      <c r="M374">
        <f>a.*h./(L.*Cpw.)*(H374-I374)+a.*lambda.*kc./(L.*Cpw.)*K374</f>
        <v>0.64513785966514159</v>
      </c>
      <c r="N374">
        <f>a.*kc./G.*(H374-I374)</f>
        <v>0.75041379365672478</v>
      </c>
    </row>
    <row r="375" spans="5:14" x14ac:dyDescent="0.25">
      <c r="E375">
        <v>373</v>
      </c>
      <c r="F375">
        <f>dz.*E375</f>
        <v>8.480947004381262</v>
      </c>
      <c r="G375">
        <f>G374+L374*dz.</f>
        <v>3.0004352009015696</v>
      </c>
      <c r="H375">
        <f>H374+M374*dz.</f>
        <v>315.20214154874446</v>
      </c>
      <c r="I375">
        <f>I374+N374*dz.</f>
        <v>314.32965655542682</v>
      </c>
      <c r="J375">
        <f>(10^(AntA.-AntB./(AntC.+(H375-273.15)))*101325/760)</f>
        <v>8202.3064942936253</v>
      </c>
      <c r="K375">
        <f>(J375/(R.*H375)-G375)</f>
        <v>0.12951057512173936</v>
      </c>
      <c r="L375">
        <f>a.*kc./G.*K375</f>
        <v>0.11108571492264156</v>
      </c>
      <c r="M375">
        <f>a.*h./(L.*Cpw.)*(H375-I375)+a.*lambda.*kc./(L.*Cpw.)*K375</f>
        <v>0.64374185244002624</v>
      </c>
      <c r="N375">
        <f>a.*kc./G.*(H375-I375)</f>
        <v>0.74836065820000719</v>
      </c>
    </row>
    <row r="376" spans="5:14" x14ac:dyDescent="0.25">
      <c r="E376">
        <v>374</v>
      </c>
      <c r="F376">
        <f>dz.*E376</f>
        <v>8.5036841277174045</v>
      </c>
      <c r="G376">
        <f>G375+L375*dz.</f>
        <v>3.0029609705026492</v>
      </c>
      <c r="H376">
        <f>H375+M375*dz.</f>
        <v>315.21677838664004</v>
      </c>
      <c r="I376">
        <f>I375+N375*dz.</f>
        <v>314.34667212401223</v>
      </c>
      <c r="J376">
        <f>(10^(AntA.-AntB./(AntC.+(H376-273.15)))*101325/760)</f>
        <v>8208.6127664273463</v>
      </c>
      <c r="K376">
        <f>(J376/(R.*H376)-G376)</f>
        <v>0.12924578889701444</v>
      </c>
      <c r="L376">
        <f>a.*kc./G.*K376</f>
        <v>0.11085859858833769</v>
      </c>
      <c r="M376">
        <f>a.*h./(L.*Cpw.)*(H376-I376)+a.*lambda.*kc./(L.*Cpw.)*K376</f>
        <v>0.64235463503509449</v>
      </c>
      <c r="N376">
        <f>a.*kc./G.*(H376-I376)</f>
        <v>0.74632033833393085</v>
      </c>
    </row>
    <row r="377" spans="5:14" x14ac:dyDescent="0.25">
      <c r="E377">
        <v>375</v>
      </c>
      <c r="F377">
        <f>dz.*E377</f>
        <v>8.5264212510535469</v>
      </c>
      <c r="G377">
        <f>G376+L376*dz.</f>
        <v>3.0054815761316243</v>
      </c>
      <c r="H377">
        <f>H376+M376*dz.</f>
        <v>315.23138368320235</v>
      </c>
      <c r="I377">
        <f>I376+N376*dz.</f>
        <v>314.36364130159319</v>
      </c>
      <c r="J377">
        <f>(10^(AntA.-AntB./(AntC.+(H377-273.15)))*101325/760)</f>
        <v>8214.9096131872866</v>
      </c>
      <c r="K377">
        <f>(J377/(R.*H377)-G377)</f>
        <v>0.12898267398141838</v>
      </c>
      <c r="L377">
        <f>a.*kc./G.*K377</f>
        <v>0.11063291579387613</v>
      </c>
      <c r="M377">
        <f>a.*h./(L.*Cpw.)*(H377-I377)+a.*lambda.*kc./(L.*Cpw.)*K377</f>
        <v>0.64097615395821095</v>
      </c>
      <c r="N377">
        <f>a.*kc./G.*(H377-I377)</f>
        <v>0.7442927555461758</v>
      </c>
    </row>
    <row r="378" spans="5:14" x14ac:dyDescent="0.25">
      <c r="E378">
        <v>376</v>
      </c>
      <c r="F378">
        <f>dz.*E378</f>
        <v>8.5491583743896893</v>
      </c>
      <c r="G378">
        <f>G377+L377*dz.</f>
        <v>3.0079970503830666</v>
      </c>
      <c r="H378">
        <f>H377+M377*dz.</f>
        <v>315.24595763707043</v>
      </c>
      <c r="I378">
        <f>I377+N377*dz.</f>
        <v>314.38056437777425</v>
      </c>
      <c r="J378">
        <f>(10^(AntA.-AntB./(AntC.+(H378-273.15)))*101325/760)</f>
        <v>8221.1970956142432</v>
      </c>
      <c r="K378">
        <f>(J378/(R.*H378)-G378)</f>
        <v>0.12872122025648558</v>
      </c>
      <c r="L378">
        <f>a.*kc./G.*K378</f>
        <v>0.11040865786029776</v>
      </c>
      <c r="M378">
        <f>a.*h./(L.*Cpw.)*(H378-I378)+a.*lambda.*kc./(L.*Cpw.)*K378</f>
        <v>0.63960635619083472</v>
      </c>
      <c r="N378">
        <f>a.*kc./G.*(H378-I378)</f>
        <v>0.74227783181247597</v>
      </c>
    </row>
    <row r="379" spans="5:14" x14ac:dyDescent="0.25">
      <c r="E379">
        <v>377</v>
      </c>
      <c r="F379">
        <f>dz.*E379</f>
        <v>8.5718954977258335</v>
      </c>
      <c r="G379">
        <f>G378+L378*dz.</f>
        <v>3.0105074256542141</v>
      </c>
      <c r="H379">
        <f>H378+M378*dz.</f>
        <v>315.26050044567774</v>
      </c>
      <c r="I379">
        <f>I378+N378*dz.</f>
        <v>314.39744164038586</v>
      </c>
      <c r="J379">
        <f>(10^(AntA.-AntB./(AntC.+(H379-273.15)))*101325/760)</f>
        <v>8227.4752744838388</v>
      </c>
      <c r="K379">
        <f>(J379/(R.*H379)-G379)</f>
        <v>0.12846141770000008</v>
      </c>
      <c r="L379">
        <f>a.*kc./G.*K379</f>
        <v>0.11018581619120013</v>
      </c>
      <c r="M379">
        <f>a.*h./(L.*Cpw.)*(H379-I379)+a.*lambda.*kc./(L.*Cpw.)*K379</f>
        <v>0.63824518918329221</v>
      </c>
      <c r="N379">
        <f>a.*kc./G.*(H379-I379)</f>
        <v>0.74027548959617961</v>
      </c>
    </row>
    <row r="380" spans="5:14" x14ac:dyDescent="0.25">
      <c r="E380">
        <v>378</v>
      </c>
      <c r="F380">
        <f>dz.*E380</f>
        <v>8.5946326210619759</v>
      </c>
      <c r="G380">
        <f>G379+L379*dz.</f>
        <v>3.0130127341468471</v>
      </c>
      <c r="H380">
        <f>H379+M379*dz.</f>
        <v>315.27501230526292</v>
      </c>
      <c r="I380">
        <f>I379+N379*dz.</f>
        <v>314.41427337549555</v>
      </c>
      <c r="J380">
        <f>(10^(AntA.-AntB./(AntC.+(H380-273.15)))*101325/760)</f>
        <v>8233.7442103085868</v>
      </c>
      <c r="K380">
        <f>(J380/(R.*H380)-G380)</f>
        <v>0.12820325638491203</v>
      </c>
      <c r="L380">
        <f>a.*kc./G.*K380</f>
        <v>0.10996438227180808</v>
      </c>
      <c r="M380">
        <f>a.*h./(L.*Cpw.)*(H380-I380)+a.*lambda.*kc./(L.*Cpw.)*K380</f>
        <v>0.63689260085022259</v>
      </c>
      <c r="N380">
        <f>a.*kc./G.*(H380-I380)</f>
        <v>0.73828565184795658</v>
      </c>
    </row>
    <row r="381" spans="5:14" x14ac:dyDescent="0.25">
      <c r="E381">
        <v>379</v>
      </c>
      <c r="F381">
        <f>dz.*E381</f>
        <v>8.6173697443981183</v>
      </c>
      <c r="G381">
        <f>G380+L380*dz.</f>
        <v>3.0155130078691439</v>
      </c>
      <c r="H381">
        <f>H380+M380*dz.</f>
        <v>315.28949341088031</v>
      </c>
      <c r="I381">
        <f>I380+N380*dz.</f>
        <v>314.43105986741892</v>
      </c>
      <c r="J381">
        <f>(10^(AntA.-AntB./(AntC.+(H381-273.15)))*101325/760)</f>
        <v>8240.0039633401102</v>
      </c>
      <c r="K381">
        <f>(J381/(R.*H381)-G381)</f>
        <v>0.12794672647833494</v>
      </c>
      <c r="L381">
        <f>a.*kc./G.*K381</f>
        <v>0.10974434766811361</v>
      </c>
      <c r="M381">
        <f>a.*h./(L.*Cpw.)*(H381-I381)+a.*lambda.*kc./(L.*Cpw.)*K381</f>
        <v>0.63554853956633284</v>
      </c>
      <c r="N381">
        <f>a.*kc./G.*(H381-I381)</f>
        <v>0.73630824200531153</v>
      </c>
    </row>
    <row r="382" spans="5:14" x14ac:dyDescent="0.25">
      <c r="E382">
        <v>380</v>
      </c>
      <c r="F382">
        <f>dz.*E382</f>
        <v>8.6401068677342607</v>
      </c>
      <c r="G382">
        <f>G381+L381*dz.</f>
        <v>3.0180082786375184</v>
      </c>
      <c r="H382">
        <f>H381+M381*dz.</f>
        <v>315.30394395641054</v>
      </c>
      <c r="I382">
        <f>I381+N381*dz.</f>
        <v>314.4478013987308</v>
      </c>
      <c r="J382">
        <f>(10^(AntA.-AntB./(AntC.+(H382-273.15)))*101325/760)</f>
        <v>8246.2545935712442</v>
      </c>
      <c r="K382">
        <f>(J382/(R.*H382)-G382)</f>
        <v>0.12769181824050868</v>
      </c>
      <c r="L382">
        <f>a.*kc./G.*K382</f>
        <v>0.10952570402598645</v>
      </c>
      <c r="M382">
        <f>a.*h./(L.*Cpw.)*(H382-I382)+a.*lambda.*kc./(L.*Cpw.)*K382</f>
        <v>0.63421295416201673</v>
      </c>
      <c r="N382">
        <f>a.*kc./G.*(H382-I382)</f>
        <v>0.7343431839921446</v>
      </c>
    </row>
    <row r="383" spans="5:14" x14ac:dyDescent="0.25">
      <c r="E383">
        <v>381</v>
      </c>
      <c r="F383">
        <f>dz.*E383</f>
        <v>8.6628439910704031</v>
      </c>
      <c r="G383">
        <f>G382+L382*dz.</f>
        <v>3.0204985780784352</v>
      </c>
      <c r="H383">
        <f>H382+M382*dz.</f>
        <v>315.31836413457069</v>
      </c>
      <c r="I383">
        <f>I382+N382*dz.</f>
        <v>314.46449825027628</v>
      </c>
      <c r="J383">
        <f>(10^(AntA.-AntB./(AntC.+(H383-273.15)))*101325/760)</f>
        <v>8252.4961607380665</v>
      </c>
      <c r="K383">
        <f>(J383/(R.*H383)-G383)</f>
        <v>0.12743852202376571</v>
      </c>
      <c r="L383">
        <f>a.*kc./G.*K383</f>
        <v>0.10930844307028731</v>
      </c>
      <c r="M383">
        <f>a.*h./(L.*Cpw.)*(H383-I383)+a.*lambda.*kc./(L.*Cpw.)*K383</f>
        <v>0.63288579391894706</v>
      </c>
      <c r="N383">
        <f>a.*kc./G.*(H383-I383)</f>
        <v>0.73239040221801999</v>
      </c>
    </row>
    <row r="384" spans="5:14" x14ac:dyDescent="0.25">
      <c r="E384">
        <v>382</v>
      </c>
      <c r="F384">
        <f>dz.*E384</f>
        <v>8.6855811144065473</v>
      </c>
      <c r="G384">
        <f>G383+L383*dz.</f>
        <v>3.0229839376302059</v>
      </c>
      <c r="H384">
        <f>H383+M383*dz.</f>
        <v>315.33275413692473</v>
      </c>
      <c r="I384">
        <f>I383+N383*dz.</f>
        <v>314.48115070118172</v>
      </c>
      <c r="J384">
        <f>(10^(AntA.-AntB./(AntC.+(H384-273.15)))*101325/760)</f>
        <v>8258.7287243219926</v>
      </c>
      <c r="K384">
        <f>(J384/(R.*H384)-G384)</f>
        <v>0.12718682827153716</v>
      </c>
      <c r="L384">
        <f>a.*kc./G.*K384</f>
        <v>0.10909255660401543</v>
      </c>
      <c r="M384">
        <f>a.*h./(L.*Cpw.)*(H384-I384)+a.*lambda.*kc./(L.*Cpw.)*K384</f>
        <v>0.63156700856585934</v>
      </c>
      <c r="N384">
        <f>a.*kc./G.*(H384-I384)</f>
        <v>0.73044982157762994</v>
      </c>
    </row>
    <row r="385" spans="5:14" x14ac:dyDescent="0.25">
      <c r="E385">
        <v>383</v>
      </c>
      <c r="F385">
        <f>dz.*E385</f>
        <v>8.7083182377426898</v>
      </c>
      <c r="G385">
        <f>G384+L384*dz.</f>
        <v>3.0254643885447665</v>
      </c>
      <c r="H385">
        <f>H384+M384*dz.</f>
        <v>315.34711415389353</v>
      </c>
      <c r="I385">
        <f>I384+N384*dz.</f>
        <v>314.4977590288658</v>
      </c>
      <c r="J385">
        <f>(10^(AntA.-AntB./(AntC.+(H385-273.15)))*101325/760)</f>
        <v>8264.9523435518313</v>
      </c>
      <c r="K385">
        <f>(J385/(R.*H385)-G385)</f>
        <v>0.12693672751736029</v>
      </c>
      <c r="L385">
        <f>a.*kc./G.*K385</f>
        <v>0.1088780365074572</v>
      </c>
      <c r="M385">
        <f>a.*h./(L.*Cpw.)*(H385-I385)+a.*lambda.*kc./(L.*Cpw.)*K385</f>
        <v>0.63025654827429656</v>
      </c>
      <c r="N385">
        <f>a.*kc./G.*(H385-I385)</f>
        <v>0.72852136744991691</v>
      </c>
    </row>
    <row r="386" spans="5:14" x14ac:dyDescent="0.25">
      <c r="E386">
        <v>384</v>
      </c>
      <c r="F386">
        <f>dz.*E386</f>
        <v>8.7310553610788322</v>
      </c>
      <c r="G386">
        <f>G385+L385*dz.</f>
        <v>3.0279399618894338</v>
      </c>
      <c r="H386">
        <f>H385+M385*dz.</f>
        <v>315.36144437476503</v>
      </c>
      <c r="I386">
        <f>I385+N385*dz.</f>
        <v>314.51432350905054</v>
      </c>
      <c r="J386">
        <f>(10^(AntA.-AntB./(AntC.+(H386-273.15)))*101325/760)</f>
        <v>8271.1670774058948</v>
      </c>
      <c r="K386">
        <f>(J386/(R.*H386)-G386)</f>
        <v>0.12668821038393219</v>
      </c>
      <c r="L386">
        <f>a.*kc./G.*K386</f>
        <v>0.10866487473737443</v>
      </c>
      <c r="M386">
        <f>a.*h./(L.*Cpw.)*(H386-I386)+a.*lambda.*kc./(L.*Cpw.)*K386</f>
        <v>0.6289543636545708</v>
      </c>
      <c r="N386">
        <f>a.*kc./G.*(H386-I386)</f>
        <v>0.72660496569739119</v>
      </c>
    </row>
    <row r="387" spans="5:14" x14ac:dyDescent="0.25">
      <c r="E387">
        <v>385</v>
      </c>
      <c r="F387">
        <f>dz.*E387</f>
        <v>8.7537924844149746</v>
      </c>
      <c r="G387">
        <f>G386+L386*dz.</f>
        <v>3.0304106885486441</v>
      </c>
      <c r="H387">
        <f>H386+M386*dz.</f>
        <v>315.37574498770425</v>
      </c>
      <c r="I387">
        <f>I386+N386*dz.</f>
        <v>314.53084441577226</v>
      </c>
      <c r="J387">
        <f>(10^(AntA.-AntB./(AntC.+(H387-273.15)))*101325/760)</f>
        <v>8277.3729846139668</v>
      </c>
      <c r="K387">
        <f>(J387/(R.*H387)-G387)</f>
        <v>0.12644126758211938</v>
      </c>
      <c r="L387">
        <f>a.*kc./G.*K387</f>
        <v>0.10845306332615499</v>
      </c>
      <c r="M387">
        <f>a.*h./(L.*Cpw.)*(H387-I387)+a.*lambda.*kc./(L.*Cpw.)*K387</f>
        <v>0.62766040575151583</v>
      </c>
      <c r="N387">
        <f>a.*kc./G.*(H387-I387)</f>
        <v>0.72470054266525297</v>
      </c>
    </row>
    <row r="388" spans="5:14" x14ac:dyDescent="0.25">
      <c r="E388">
        <v>386</v>
      </c>
      <c r="F388">
        <f>dz.*E388</f>
        <v>8.776529607751117</v>
      </c>
      <c r="G388">
        <f>G387+L387*dz.</f>
        <v>3.0328765992256734</v>
      </c>
      <c r="H388">
        <f>H387+M387*dz.</f>
        <v>315.39001617976305</v>
      </c>
      <c r="I388">
        <f>I387+N387*dz.</f>
        <v>314.54732202139263</v>
      </c>
      <c r="J388">
        <f>(10^(AntA.-AntB./(AntC.+(H388-273.15)))*101325/760)</f>
        <v>8283.5701236593268</v>
      </c>
      <c r="K388">
        <f>(J388/(R.*H388)-G388)</f>
        <v>0.12619588991001818</v>
      </c>
      <c r="L388">
        <f>a.*kc./G.*K388</f>
        <v>0.10824259438100675</v>
      </c>
      <c r="M388">
        <f>a.*h./(L.*Cpw.)*(H388-I388)+a.*lambda.*kc./(L.*Cpw.)*K388</f>
        <v>0.62637462604042349</v>
      </c>
      <c r="N388">
        <f>a.*kc./G.*(H388-I388)</f>
        <v>0.72280802518031995</v>
      </c>
    </row>
    <row r="389" spans="5:14" x14ac:dyDescent="0.25">
      <c r="E389">
        <v>387</v>
      </c>
      <c r="F389">
        <f>dz.*E389</f>
        <v>8.7992667310872612</v>
      </c>
      <c r="G389">
        <f>G388+L388*dz.</f>
        <v>3.0353377244443385</v>
      </c>
      <c r="H389">
        <f>H388+M388*dz.</f>
        <v>315.40425813688995</v>
      </c>
      <c r="I389">
        <f>I388+N388*dz.</f>
        <v>314.56375659660949</v>
      </c>
      <c r="J389">
        <f>(10^(AntA.-AntB./(AntC.+(H389-273.15)))*101325/760)</f>
        <v>8289.758552780806</v>
      </c>
      <c r="K389">
        <f>(J389/(R.*H389)-G389)</f>
        <v>0.1259520682520332</v>
      </c>
      <c r="L389">
        <f>a.*kc./G.*K389</f>
        <v>0.10803346008316717</v>
      </c>
      <c r="M389">
        <f>a.*h./(L.*Cpw.)*(H389-I389)+a.*lambda.*kc./(L.*Cpw.)*K389</f>
        <v>0.62509697642308271</v>
      </c>
      <c r="N389">
        <f>a.*kc./G.*(H389-I389)</f>
        <v>0.72092734055014962</v>
      </c>
    </row>
    <row r="390" spans="5:14" x14ac:dyDescent="0.25">
      <c r="E390">
        <v>388</v>
      </c>
      <c r="F390">
        <f>dz.*E390</f>
        <v>8.8220038544234036</v>
      </c>
      <c r="G390">
        <f>G389+L389*dz.</f>
        <v>3.0377940945506796</v>
      </c>
      <c r="H390">
        <f>H389+M389*dz.</f>
        <v>315.41847104393992</v>
      </c>
      <c r="I390">
        <f>I389+N389*dz.</f>
        <v>314.58014841046798</v>
      </c>
      <c r="J390">
        <f>(10^(AntA.-AntB./(AntC.+(H390-273.15)))*101325/760)</f>
        <v>8295.9383299747478</v>
      </c>
      <c r="K390">
        <f>(J390/(R.*H390)-G390)</f>
        <v>0.12570979357794876</v>
      </c>
      <c r="L390">
        <f>a.*kc./G.*K390</f>
        <v>0.10782565268710688</v>
      </c>
      <c r="M390">
        <f>a.*h./(L.*Cpw.)*(H390-I390)+a.*lambda.*kc./(L.*Cpw.)*K390</f>
        <v>0.62382740922375468</v>
      </c>
      <c r="N390">
        <f>a.*kc./G.*(H390-I390)</f>
        <v>0.71905841656191782</v>
      </c>
    </row>
    <row r="391" spans="5:14" x14ac:dyDescent="0.25">
      <c r="E391">
        <v>389</v>
      </c>
      <c r="F391">
        <f>dz.*E391</f>
        <v>8.844740977759546</v>
      </c>
      <c r="G391">
        <f>G390+L390*dz.</f>
        <v>3.0402457397146265</v>
      </c>
      <c r="H391">
        <f>H390+M390*dz.</f>
        <v>315.43265508468392</v>
      </c>
      <c r="I391">
        <f>I390+N390*dz.</f>
        <v>314.59649773037125</v>
      </c>
      <c r="J391">
        <f>(10^(AntA.-AntB./(AntC.+(H391-273.15)))*101325/760)</f>
        <v>8302.1095129969963</v>
      </c>
      <c r="K391">
        <f>(J391/(R.*H391)-G391)</f>
        <v>0.12546905694201982</v>
      </c>
      <c r="L391">
        <f>a.*kc./G.*K391</f>
        <v>0.10761916451974989</v>
      </c>
      <c r="M391">
        <f>a.*h./(L.*Cpw.)*(H391-I391)+a.*lambda.*kc./(L.*Cpw.)*K391</f>
        <v>0.62256587718524414</v>
      </c>
      <c r="N391">
        <f>a.*kc./G.*(H391-I391)</f>
        <v>0.71720118148139522</v>
      </c>
    </row>
    <row r="392" spans="5:14" x14ac:dyDescent="0.25">
      <c r="E392">
        <v>390</v>
      </c>
      <c r="F392">
        <f>dz.*E392</f>
        <v>8.8674781010956885</v>
      </c>
      <c r="G392">
        <f>G391+L391*dz.</f>
        <v>3.0426926899316449</v>
      </c>
      <c r="H392">
        <f>H391+M391*dz.</f>
        <v>315.44681044181834</v>
      </c>
      <c r="I392">
        <f>I391+N391*dz.</f>
        <v>314.61280482209145</v>
      </c>
      <c r="J392">
        <f>(10^(AntA.-AntB./(AntC.+(H392-273.15)))*101325/760)</f>
        <v>8308.2721593648857</v>
      </c>
      <c r="K392">
        <f>(J392/(R.*H392)-G392)</f>
        <v>0.12522984948208649</v>
      </c>
      <c r="L392">
        <f>a.*kc./G.*K392</f>
        <v>0.10741398797971409</v>
      </c>
      <c r="M392">
        <f>a.*h./(L.*Cpw.)*(H392-I392)+a.*lambda.*kc./(L.*Cpw.)*K392</f>
        <v>0.62131233346502668</v>
      </c>
      <c r="N392">
        <f>a.*kc./G.*(H392-I392)</f>
        <v>0.71535556405163003</v>
      </c>
    </row>
    <row r="393" spans="5:14" x14ac:dyDescent="0.25">
      <c r="E393">
        <v>391</v>
      </c>
      <c r="F393">
        <f>dz.*E393</f>
        <v>8.8902152244318309</v>
      </c>
      <c r="G393">
        <f>G392+L392*dz.</f>
        <v>3.0451349750243666</v>
      </c>
      <c r="H393">
        <f>H392+M392*dz.</f>
        <v>315.46093729697458</v>
      </c>
      <c r="I393">
        <f>I392+N392*dz.</f>
        <v>314.6290699497805</v>
      </c>
      <c r="J393">
        <f>(10^(AntA.-AntB./(AntC.+(H393-273.15)))*101325/760)</f>
        <v>8314.4263263591783</v>
      </c>
      <c r="K393">
        <f>(J393/(R.*H393)-G393)</f>
        <v>0.12499216241868272</v>
      </c>
      <c r="L393">
        <f>a.*kc./G.*K393</f>
        <v>0.1072101155365468</v>
      </c>
      <c r="M393">
        <f>a.*h./(L.*Cpw.)*(H393-I393)+a.*lambda.*kc./(L.*Cpw.)*K393</f>
        <v>0.62006673163138637</v>
      </c>
      <c r="N393">
        <f>a.*kc./G.*(H393-I393)</f>
        <v>0.71352149349187644</v>
      </c>
    </row>
    <row r="394" spans="5:14" x14ac:dyDescent="0.25">
      <c r="E394">
        <v>392</v>
      </c>
      <c r="F394">
        <f>dz.*E394</f>
        <v>8.9129523477679751</v>
      </c>
      <c r="G394">
        <f>G393+L393*dz.</f>
        <v>3.0475726246442032</v>
      </c>
      <c r="H394">
        <f>H393+M393*dz.</f>
        <v>315.4750358307283</v>
      </c>
      <c r="I394">
        <f>I393+N393*dz.</f>
        <v>314.645293375981</v>
      </c>
      <c r="J394">
        <f>(10^(AntA.-AntB./(AntC.+(H394-273.15)))*101325/760)</f>
        <v>8320.5720710260721</v>
      </c>
      <c r="K394">
        <f>(J394/(R.*H394)-G394)</f>
        <v>0.12475598705418944</v>
      </c>
      <c r="L394">
        <f>a.*kc./G.*K394</f>
        <v>0.10700753972999827</v>
      </c>
      <c r="M394">
        <f>a.*h./(L.*Cpw.)*(H394-I394)+a.*lambda.*kc./(L.*Cpw.)*K394</f>
        <v>0.61882902565970521</v>
      </c>
      <c r="N394">
        <f>a.*kc./G.*(H394-I394)</f>
        <v>0.71169889949627729</v>
      </c>
    </row>
    <row r="395" spans="5:14" x14ac:dyDescent="0.25">
      <c r="E395">
        <v>393</v>
      </c>
      <c r="F395">
        <f>dz.*E395</f>
        <v>8.9356894711041175</v>
      </c>
      <c r="G395">
        <f>G394+L394*dz.</f>
        <v>3.0500056682729415</v>
      </c>
      <c r="H395">
        <f>H394+M394*dz.</f>
        <v>315.48910622260871</v>
      </c>
      <c r="I395">
        <f>I394+N394*dz.</f>
        <v>314.66147536163703</v>
      </c>
      <c r="J395">
        <f>(10^(AntA.-AntB./(AntC.+(H395-273.15)))*101325/760)</f>
        <v>8326.7094501790252</v>
      </c>
      <c r="K395">
        <f>(J395/(R.*H395)-G395)</f>
        <v>0.12452131477193662</v>
      </c>
      <c r="L395">
        <f>a.*kc./G.*K395</f>
        <v>0.10680625316925156</v>
      </c>
      <c r="M395">
        <f>a.*h./(L.*Cpw.)*(H395-I395)+a.*lambda.*kc./(L.*Cpw.)*K395</f>
        <v>0.61759916992852515</v>
      </c>
      <c r="N395">
        <f>a.*kc./G.*(H395-I395)</f>
        <v>0.70988771223245084</v>
      </c>
    </row>
    <row r="396" spans="5:14" x14ac:dyDescent="0.25">
      <c r="E396">
        <v>394</v>
      </c>
      <c r="F396">
        <f>dz.*E396</f>
        <v>8.9584265944402599</v>
      </c>
      <c r="G396">
        <f>G395+L395*dz.</f>
        <v>3.0524341352243223</v>
      </c>
      <c r="H396">
        <f>H395+M395*dz.</f>
        <v>315.50314865110767</v>
      </c>
      <c r="I396">
        <f>I395+N395*dz.</f>
        <v>314.67761616610488</v>
      </c>
      <c r="J396">
        <f>(10^(AntA.-AntB./(AntC.+(H396-273.15)))*101325/760)</f>
        <v>8332.8385204007627</v>
      </c>
      <c r="K396">
        <f>(J396/(R.*H396)-G396)</f>
        <v>0.12428813703538744</v>
      </c>
      <c r="L396">
        <f>a.*kc./G.*K396</f>
        <v>0.10660624853222279</v>
      </c>
      <c r="M396">
        <f>a.*h./(L.*Cpw.)*(H396-I396)+a.*lambda.*kc./(L.*Cpw.)*K396</f>
        <v>0.61637711921596638</v>
      </c>
      <c r="N396">
        <f>a.*kc./G.*(H396-I396)</f>
        <v>0.70808786234017362</v>
      </c>
    </row>
    <row r="397" spans="5:14" x14ac:dyDescent="0.25">
      <c r="E397">
        <v>395</v>
      </c>
      <c r="F397">
        <f>dz.*E397</f>
        <v>8.9811637177764023</v>
      </c>
      <c r="G397">
        <f>G396+L396*dz.</f>
        <v>3.054858054645603</v>
      </c>
      <c r="H397">
        <f>H396+M396*dz.</f>
        <v>315.51716329368884</v>
      </c>
      <c r="I397">
        <f>I396+N396*dz.</f>
        <v>314.69371604716372</v>
      </c>
      <c r="J397">
        <f>(10^(AntA.-AntB./(AntC.+(H397-273.15)))*101325/760)</f>
        <v>8338.9593380451715</v>
      </c>
      <c r="K397">
        <f>(J397/(R.*H397)-G397)</f>
        <v>0.12405644538730032</v>
      </c>
      <c r="L397">
        <f>a.*kc./G.*K397</f>
        <v>0.10640751856484237</v>
      </c>
      <c r="M397">
        <f>a.*h./(L.*Cpw.)*(H397-I397)+a.*lambda.*kc./(L.*Cpw.)*K397</f>
        <v>0.61516282869605288</v>
      </c>
      <c r="N397">
        <f>a.*kc./G.*(H397-I397)</f>
        <v>0.70629928093006478</v>
      </c>
    </row>
    <row r="398" spans="5:14" x14ac:dyDescent="0.25">
      <c r="E398">
        <v>396</v>
      </c>
      <c r="F398">
        <f>dz.*E398</f>
        <v>9.0039008411125465</v>
      </c>
      <c r="G398">
        <f>G397+L397*dz.</f>
        <v>3.0572774555191047</v>
      </c>
      <c r="H398">
        <f>H397+M397*dz.</f>
        <v>315.53115032679671</v>
      </c>
      <c r="I398">
        <f>I397+N397*dz.</f>
        <v>314.70977526102644</v>
      </c>
      <c r="J398">
        <f>(10^(AntA.-AntB./(AntC.+(H398-273.15)))*101325/760)</f>
        <v>8345.0719592391997</v>
      </c>
      <c r="K398">
        <f>(J398/(R.*H398)-G398)</f>
        <v>0.12382623144890426</v>
      </c>
      <c r="L398">
        <f>a.*kc./G.*K398</f>
        <v>0.10621005608034763</v>
      </c>
      <c r="M398">
        <f>a.*h./(L.*Cpw.)*(H398-I398)+a.*lambda.*kc./(L.*Cpw.)*K398</f>
        <v>0.61395625393505371</v>
      </c>
      <c r="N398">
        <f>a.*kc./G.*(H398-I398)</f>
        <v>0.70452189958197631</v>
      </c>
    </row>
    <row r="399" spans="5:14" x14ac:dyDescent="0.25">
      <c r="E399">
        <v>397</v>
      </c>
      <c r="F399">
        <f>dz.*E399</f>
        <v>9.0266379644486889</v>
      </c>
      <c r="G399">
        <f>G398+L398*dz.</f>
        <v>3.0596923666637421</v>
      </c>
      <c r="H399">
        <f>H398+M398*dz.</f>
        <v>315.5451099258654</v>
      </c>
      <c r="I399">
        <f>I398+N398*dz.</f>
        <v>314.72579406235025</v>
      </c>
      <c r="J399">
        <f>(10^(AntA.-AntB./(AntC.+(H399-273.15)))*101325/760)</f>
        <v>8351.1764398847245</v>
      </c>
      <c r="K399">
        <f>(J399/(R.*H399)-G399)</f>
        <v>0.12359748691908168</v>
      </c>
      <c r="L399">
        <f>a.*kc./G.*K399</f>
        <v>0.1060138539585819</v>
      </c>
      <c r="M399">
        <f>a.*h./(L.*Cpw.)*(H399-I399)+a.*lambda.*kc./(L.*Cpw.)*K399</f>
        <v>0.61275735088787475</v>
      </c>
      <c r="N399">
        <f>a.*kc./G.*(H399-I399)</f>
        <v>0.70275565034353127</v>
      </c>
    </row>
    <row r="400" spans="5:14" x14ac:dyDescent="0.25">
      <c r="E400">
        <v>398</v>
      </c>
      <c r="F400">
        <f>dz.*E400</f>
        <v>9.0493750877848314</v>
      </c>
      <c r="G400">
        <f>G399+L399*dz.</f>
        <v>3.0621028167365383</v>
      </c>
      <c r="H400">
        <f>H399+M399*dz.</f>
        <v>315.55904226532766</v>
      </c>
      <c r="I400">
        <f>I399+N399*dz.</f>
        <v>314.7417727042473</v>
      </c>
      <c r="J400">
        <f>(10^(AntA.-AntB./(AntC.+(H400-273.15)))*101325/760)</f>
        <v>8357.2728356604766</v>
      </c>
      <c r="K400">
        <f>(J400/(R.*H400)-G400)</f>
        <v>0.12337020357358686</v>
      </c>
      <c r="L400">
        <f>a.*kc./G.*K400</f>
        <v>0.10581890514532422</v>
      </c>
      <c r="M400">
        <f>a.*h./(L.*Cpw.)*(H400-I400)+a.*lambda.*kc./(L.*Cpw.)*K400</f>
        <v>0.61156607589459921</v>
      </c>
      <c r="N400">
        <f>a.*kc./G.*(H400-I400)</f>
        <v>0.70100046572866004</v>
      </c>
    </row>
    <row r="401" spans="5:14" x14ac:dyDescent="0.25">
      <c r="E401">
        <v>399</v>
      </c>
      <c r="F401">
        <f>dz.*E401</f>
        <v>9.0721122111209738</v>
      </c>
      <c r="G401">
        <f>G400+L400*dz.</f>
        <v>3.0645088342341231</v>
      </c>
      <c r="H401">
        <f>H400+M400*dz.</f>
        <v>315.57294751862349</v>
      </c>
      <c r="I401">
        <f>I400+N400*dz.</f>
        <v>314.75771143829525</v>
      </c>
      <c r="J401">
        <f>(10^(AntA.-AntB./(AntC.+(H401-273.15)))*101325/760)</f>
        <v>8363.3612020238252</v>
      </c>
      <c r="K401">
        <f>(J401/(R.*H401)-G401)</f>
        <v>0.12314437326422567</v>
      </c>
      <c r="L401">
        <f>a.*kc./G.*K401</f>
        <v>0.10562520265158572</v>
      </c>
      <c r="M401">
        <f>a.*h./(L.*Cpw.)*(H401-I401)+a.*lambda.*kc./(L.*Cpw.)*K401</f>
        <v>0.61038238567684666</v>
      </c>
      <c r="N401">
        <f>a.*kc./G.*(H401-I401)</f>
        <v>0.69925627871599227</v>
      </c>
    </row>
    <row r="402" spans="5:14" x14ac:dyDescent="0.25">
      <c r="E402">
        <v>400</v>
      </c>
      <c r="F402">
        <f>dz.*E402</f>
        <v>9.0948493344571162</v>
      </c>
      <c r="G402">
        <f>G401+L401*dz.</f>
        <v>3.0669104474942173</v>
      </c>
      <c r="H402">
        <f>H401+M401*dz.</f>
        <v>315.58682585820884</v>
      </c>
      <c r="I402">
        <f>I401+N401*dz.</f>
        <v>314.77361051454801</v>
      </c>
      <c r="J402">
        <f>(10^(AntA.-AntB./(AntC.+(H402-273.15)))*101325/760)</f>
        <v>8369.4415942126925</v>
      </c>
      <c r="K402">
        <f>(J402/(R.*H402)-G402)</f>
        <v>0.12291998791810332</v>
      </c>
      <c r="L402">
        <f>a.*kc./G.*K402</f>
        <v>0.10543273955296435</v>
      </c>
      <c r="M402">
        <f>a.*h./(L.*Cpw.)*(H402-I402)+a.*lambda.*kc./(L.*Cpw.)*K402</f>
        <v>0.60920623733438828</v>
      </c>
      <c r="N402">
        <f>a.*kc./G.*(H402-I402)</f>
        <v>0.69752302274705247</v>
      </c>
    </row>
    <row r="403" spans="5:14" x14ac:dyDescent="0.25">
      <c r="E403">
        <v>401</v>
      </c>
      <c r="F403">
        <f>dz.*E403</f>
        <v>9.1175864577932604</v>
      </c>
      <c r="G403">
        <f>G402+L402*dz.</f>
        <v>3.0693076846971006</v>
      </c>
      <c r="H403">
        <f>H402+M402*dz.</f>
        <v>315.60067745556427</v>
      </c>
      <c r="I403">
        <f>I402+N402*dz.</f>
        <v>314.78947018154599</v>
      </c>
      <c r="J403">
        <f>(10^(AntA.-AntB./(AntC.+(H403-273.15)))*101325/760)</f>
        <v>8375.5140672473917</v>
      </c>
      <c r="K403">
        <f>(J403/(R.*H403)-G403)</f>
        <v>0.12269703953685296</v>
      </c>
      <c r="L403">
        <f>a.*kc./G.*K403</f>
        <v>0.10524150898898328</v>
      </c>
      <c r="M403">
        <f>a.*h./(L.*Cpw.)*(H403-I403)+a.*lambda.*kc./(L.*Cpw.)*K403</f>
        <v>0.60803758834174948</v>
      </c>
      <c r="N403">
        <f>a.*kc./G.*(H403-I403)</f>
        <v>0.69580063172494344</v>
      </c>
    </row>
    <row r="404" spans="5:14" x14ac:dyDescent="0.25">
      <c r="E404">
        <v>402</v>
      </c>
      <c r="F404">
        <f>dz.*E404</f>
        <v>9.1403235811294028</v>
      </c>
      <c r="G404">
        <f>G403+L403*dz.</f>
        <v>3.0717005738670649</v>
      </c>
      <c r="H404">
        <f>H403+M403*dz.</f>
        <v>315.61450248120343</v>
      </c>
      <c r="I404">
        <f>I403+N403*dz.</f>
        <v>314.80529068632688</v>
      </c>
      <c r="J404">
        <f>(10^(AntA.-AntB./(AntC.+(H404-273.15)))*101325/760)</f>
        <v>8381.5786759324383</v>
      </c>
      <c r="K404">
        <f>(J404/(R.*H404)-G404)</f>
        <v>0.12247552019587227</v>
      </c>
      <c r="L404">
        <f>a.*kc./G.*K404</f>
        <v>0.1050515041624361</v>
      </c>
      <c r="M404">
        <f>a.*h./(L.*Cpw.)*(H404-I404)+a.*lambda.*kc./(L.*Cpw.)*K404</f>
        <v>0.60687639654475189</v>
      </c>
      <c r="N404">
        <f>a.*kc./G.*(H404-I404)</f>
        <v>0.69408904001234772</v>
      </c>
    </row>
    <row r="405" spans="5:14" x14ac:dyDescent="0.25">
      <c r="E405">
        <v>403</v>
      </c>
      <c r="F405">
        <f>dz.*E405</f>
        <v>9.1630607044655452</v>
      </c>
      <c r="G405">
        <f>G404+L404*dz.</f>
        <v>3.0740891428738535</v>
      </c>
      <c r="H405">
        <f>H404+M404*dz.</f>
        <v>315.62830110468144</v>
      </c>
      <c r="I405">
        <f>I404+N404*dz.</f>
        <v>314.82107227443589</v>
      </c>
      <c r="J405">
        <f>(10^(AntA.-AntB./(AntC.+(H405-273.15)))*101325/760)</f>
        <v>8387.6354748583435</v>
      </c>
      <c r="K405">
        <f>(J405/(R.*H405)-G405)</f>
        <v>0.12225542204356765</v>
      </c>
      <c r="L405">
        <f>a.*kc./G.*K405</f>
        <v>0.10486271833873848</v>
      </c>
      <c r="M405">
        <f>a.*h./(L.*Cpw.)*(H405-I405)+a.*lambda.*kc./(L.*Cpw.)*K405</f>
        <v>0.60572262015714073</v>
      </c>
      <c r="N405">
        <f>a.*kc./G.*(H405-I405)</f>
        <v>0.69238818242991806</v>
      </c>
    </row>
    <row r="406" spans="5:14" x14ac:dyDescent="0.25">
      <c r="E406">
        <v>404</v>
      </c>
      <c r="F406">
        <f>dz.*E406</f>
        <v>9.1857978278016876</v>
      </c>
      <c r="G406">
        <f>G405+L405*dz.</f>
        <v>3.0764734194340844</v>
      </c>
      <c r="H406">
        <f>H405+M405*dz.</f>
        <v>315.64207349460344</v>
      </c>
      <c r="I406">
        <f>I405+N405*dz.</f>
        <v>314.83681518993632</v>
      </c>
      <c r="J406">
        <f>(10^(AntA.-AntB./(AntC.+(H406-273.15)))*101325/760)</f>
        <v>8393.6845184035064</v>
      </c>
      <c r="K406">
        <f>(J406/(R.*H406)-G406)</f>
        <v>0.12203673730064901</v>
      </c>
      <c r="L406">
        <f>a.*kc./G.*K406</f>
        <v>0.10467514484532331</v>
      </c>
      <c r="M406">
        <f>a.*h./(L.*Cpw.)*(H406-I406)+a.*lambda.*kc./(L.*Cpw.)*K406</f>
        <v>0.604576217757409</v>
      </c>
      <c r="N406">
        <f>a.*kc./G.*(H406-I406)</f>
        <v>0.69069799425457135</v>
      </c>
    </row>
    <row r="407" spans="5:14" x14ac:dyDescent="0.25">
      <c r="E407">
        <v>405</v>
      </c>
      <c r="F407">
        <f>dz.*E407</f>
        <v>9.20853495113783</v>
      </c>
      <c r="G407">
        <f>G406+L406*dz.</f>
        <v>3.0788534311126612</v>
      </c>
      <c r="H407">
        <f>H406+M406*dz.</f>
        <v>315.65581981863266</v>
      </c>
      <c r="I407">
        <f>I406+N406*dz.</f>
        <v>314.85251967541973</v>
      </c>
      <c r="J407">
        <f>(10^(AntA.-AntB./(AntC.+(H407-273.15)))*101325/760)</f>
        <v>8399.7258607359145</v>
      </c>
      <c r="K407">
        <f>(J407/(R.*H407)-G407)</f>
        <v>0.12181945825936547</v>
      </c>
      <c r="L407">
        <f>a.*kc./G.*K407</f>
        <v>0.10448877707098519</v>
      </c>
      <c r="M407">
        <f>a.*h./(L.*Cpw.)*(H407-I407)+a.*lambda.*kc./(L.*Cpw.)*K407</f>
        <v>0.60343714828536255</v>
      </c>
      <c r="N407">
        <f>a.*kc./G.*(H407-I407)</f>
        <v>0.68901841121768448</v>
      </c>
    </row>
    <row r="408" spans="5:14" x14ac:dyDescent="0.25">
      <c r="E408">
        <v>406</v>
      </c>
      <c r="F408">
        <f>dz.*E408</f>
        <v>9.2312720744739742</v>
      </c>
      <c r="G408">
        <f>G407+L407*dz.</f>
        <v>3.081229205324167</v>
      </c>
      <c r="H408">
        <f>H407+M407*dz.</f>
        <v>315.66954024349883</v>
      </c>
      <c r="I408">
        <f>I407+N407*dz.</f>
        <v>314.86818597201648</v>
      </c>
      <c r="J408">
        <f>(10^(AntA.-AntB./(AntC.+(H408-273.15)))*101325/760)</f>
        <v>8405.7595558150224</v>
      </c>
      <c r="K408">
        <f>(J408/(R.*H408)-G408)</f>
        <v>0.12160357728282545</v>
      </c>
      <c r="L408">
        <f>a.*kc./G.*K408</f>
        <v>0.10430360846529717</v>
      </c>
      <c r="M408">
        <f>a.*h./(L.*Cpw.)*(H408-I408)+a.*lambda.*kc./(L.*Cpw.)*K408</f>
        <v>0.60230537103903015</v>
      </c>
      <c r="N408">
        <f>a.*kc./G.*(H408-I408)</f>
        <v>0.68734936950324166</v>
      </c>
    </row>
    <row r="409" spans="5:14" x14ac:dyDescent="0.25">
      <c r="E409">
        <v>407</v>
      </c>
      <c r="F409">
        <f>dz.*E409</f>
        <v>9.2540091978101167</v>
      </c>
      <c r="G409">
        <f>G408+L408*dz.</f>
        <v>3.0836007693342471</v>
      </c>
      <c r="H409">
        <f>H408+M408*dz.</f>
        <v>315.68323493500617</v>
      </c>
      <c r="I409">
        <f>I408+N408*dz.</f>
        <v>314.88381431940587</v>
      </c>
      <c r="J409">
        <f>(10^(AntA.-AntB./(AntC.+(H409-273.15)))*101325/760)</f>
        <v>8411.7856573934514</v>
      </c>
      <c r="K409">
        <f>(J409/(R.*H409)-G409)</f>
        <v>0.12138908680425953</v>
      </c>
      <c r="L409">
        <f>a.*kc./G.*K409</f>
        <v>0.10411963253797851</v>
      </c>
      <c r="M409">
        <f>a.*h./(L.*Cpw.)*(H409-I409)+a.*lambda.*kc./(L.*Cpw.)*K409</f>
        <v>0.601180845671341</v>
      </c>
      <c r="N409">
        <f>a.*kc./G.*(H409-I409)</f>
        <v>0.68569080574603036</v>
      </c>
    </row>
    <row r="410" spans="5:14" x14ac:dyDescent="0.25">
      <c r="E410">
        <v>408</v>
      </c>
      <c r="F410">
        <f>dz.*E410</f>
        <v>9.2767463211462591</v>
      </c>
      <c r="G410">
        <f>G409+L409*dz.</f>
        <v>3.0859681502609768</v>
      </c>
      <c r="H410">
        <f>H409+M409*dz.</f>
        <v>315.69690405804153</v>
      </c>
      <c r="I410">
        <f>I409+N409*dz.</f>
        <v>314.89940495582658</v>
      </c>
      <c r="J410">
        <f>(10^(AntA.-AntB./(AntC.+(H410-273.15)))*101325/760)</f>
        <v>8417.8042190187607</v>
      </c>
      <c r="K410">
        <f>(J410/(R.*H410)-G410)</f>
        <v>0.12117597932632584</v>
      </c>
      <c r="L410">
        <f>a.*kc./G.*K410</f>
        <v>0.10393684285829891</v>
      </c>
      <c r="M410">
        <f>a.*h./(L.*Cpw.)*(H410-I410)+a.*lambda.*kc./(L.*Cpw.)*K410</f>
        <v>0.60006353218695252</v>
      </c>
      <c r="N410">
        <f>a.*kc./G.*(H410-I410)</f>
        <v>0.68404265702964229</v>
      </c>
    </row>
    <row r="411" spans="5:14" x14ac:dyDescent="0.25">
      <c r="E411">
        <v>409</v>
      </c>
      <c r="F411">
        <f>dz.*E411</f>
        <v>9.2994834444824015</v>
      </c>
      <c r="G411">
        <f>G410+L410*dz.</f>
        <v>3.0883313750762151</v>
      </c>
      <c r="H411">
        <f>H410+M410*dz.</f>
        <v>315.71054777658236</v>
      </c>
      <c r="I411">
        <f>I410+N410*dz.</f>
        <v>314.91495811808664</v>
      </c>
      <c r="J411">
        <f>(10^(AntA.-AntB./(AntC.+(H411-273.15)))*101325/760)</f>
        <v>8423.8152940352356</v>
      </c>
      <c r="K411">
        <f>(J411/(R.*H411)-G411)</f>
        <v>0.12096424742043377</v>
      </c>
      <c r="L411">
        <f>a.*kc./G.*K411</f>
        <v>0.10375523305449837</v>
      </c>
      <c r="M411">
        <f>a.*h./(L.*Cpw.)*(H411-I411)+a.*lambda.*kc./(L.*Cpw.)*K411</f>
        <v>0.59895339093919631</v>
      </c>
      <c r="N411">
        <f>a.*kc./G.*(H411-I411)</f>
        <v>0.68240486088476682</v>
      </c>
    </row>
    <row r="412" spans="5:14" x14ac:dyDescent="0.25">
      <c r="E412">
        <v>410</v>
      </c>
      <c r="F412">
        <f>dz.*E412</f>
        <v>9.3222205678185439</v>
      </c>
      <c r="G412">
        <f>G411+L411*dz.</f>
        <v>3.0906904706069454</v>
      </c>
      <c r="H412">
        <f>H411+M411*dz.</f>
        <v>315.72416625370477</v>
      </c>
      <c r="I412">
        <f>I411+N411*dz.</f>
        <v>314.93047404157375</v>
      </c>
      <c r="J412">
        <f>(10^(AntA.-AntB./(AntC.+(H412-273.15)))*101325/760)</f>
        <v>8429.8189355856848</v>
      </c>
      <c r="K412">
        <f>(J412/(R.*H412)-G412)</f>
        <v>0.1207538837260862</v>
      </c>
      <c r="L412">
        <f>a.*kc./G.*K412</f>
        <v>0.10357479681322307</v>
      </c>
      <c r="M412">
        <f>a.*h./(L.*Cpw.)*(H412-I412)+a.*lambda.*kc./(L.*Cpw.)*K412</f>
        <v>0.59785038262706547</v>
      </c>
      <c r="N412">
        <f>a.*kc./G.*(H412-I412)</f>
        <v>0.68077735528724104</v>
      </c>
    </row>
    <row r="413" spans="5:14" x14ac:dyDescent="0.25">
      <c r="E413">
        <v>411</v>
      </c>
      <c r="F413">
        <f>dz.*E413</f>
        <v>9.3449576911546881</v>
      </c>
      <c r="G413">
        <f>G412+L412*dz.</f>
        <v>3.0930454635366034</v>
      </c>
      <c r="H413">
        <f>H412+M412*dz.</f>
        <v>315.73775965159109</v>
      </c>
      <c r="I413">
        <f>I412+N412*dz.</f>
        <v>314.94595296026534</v>
      </c>
      <c r="J413">
        <f>(10^(AntA.-AntB./(AntC.+(H413-273.15)))*101325/760)</f>
        <v>8435.815196612979</v>
      </c>
      <c r="K413">
        <f>(J413/(R.*H413)-G413)</f>
        <v>0.12054488095013616</v>
      </c>
      <c r="L413">
        <f>a.*kc./G.*K413</f>
        <v>0.10339552787888777</v>
      </c>
      <c r="M413">
        <f>a.*h./(L.*Cpw.)*(H413-I413)+a.*lambda.*kc./(L.*Cpw.)*K413</f>
        <v>0.59675446829181999</v>
      </c>
      <c r="N413">
        <f>a.*kc./G.*(H413-I413)</f>
        <v>0.67916007865590411</v>
      </c>
    </row>
    <row r="414" spans="5:14" x14ac:dyDescent="0.25">
      <c r="E414">
        <v>412</v>
      </c>
      <c r="F414">
        <f>dz.*E414</f>
        <v>9.3676948144908305</v>
      </c>
      <c r="G414">
        <f>G413+L413*dz.</f>
        <v>3.0953963804063913</v>
      </c>
      <c r="H414">
        <f>H413+M413*dz.</f>
        <v>315.75132813153806</v>
      </c>
      <c r="I414">
        <f>I413+N413*dz.</f>
        <v>314.96139510673873</v>
      </c>
      <c r="J414">
        <f>(10^(AntA.-AntB./(AntC.+(H414-273.15)))*101325/760)</f>
        <v>8441.804129862041</v>
      </c>
      <c r="K414">
        <f>(J414/(R.*H414)-G414)</f>
        <v>0.12033723186622503</v>
      </c>
      <c r="L414">
        <f>a.*kc./G.*K414</f>
        <v>0.10321742005319387</v>
      </c>
      <c r="M414">
        <f>a.*h./(L.*Cpw.)*(H414-I414)+a.*lambda.*kc./(L.*Cpw.)*K414</f>
        <v>0.59566560931441515</v>
      </c>
      <c r="N414">
        <f>a.*kc./G.*(H414-I414)</f>
        <v>0.67755296985093982</v>
      </c>
    </row>
    <row r="415" spans="5:14" x14ac:dyDescent="0.25">
      <c r="E415">
        <v>413</v>
      </c>
      <c r="F415">
        <f>dz.*E415</f>
        <v>9.3904319378269729</v>
      </c>
      <c r="G415">
        <f>G414+L414*dz.</f>
        <v>3.0977432476165792</v>
      </c>
      <c r="H415">
        <f>H414+M414*dz.</f>
        <v>315.76487185396417</v>
      </c>
      <c r="I415">
        <f>I414+N414*dz.</f>
        <v>314.97680071218099</v>
      </c>
      <c r="J415">
        <f>(10^(AntA.-AntB./(AntC.+(H415-273.15)))*101325/760)</f>
        <v>8447.7857878813629</v>
      </c>
      <c r="K415">
        <f>(J415/(R.*H415)-G415)</f>
        <v>0.12013092931405955</v>
      </c>
      <c r="L415">
        <f>a.*kc./G.*K415</f>
        <v>0.10304046719450935</v>
      </c>
      <c r="M415">
        <f>a.*h./(L.*Cpw.)*(H415-I415)+a.*lambda.*kc./(L.*Cpw.)*K415</f>
        <v>0.59458376741218433</v>
      </c>
      <c r="N415">
        <f>a.*kc./G.*(H415-I415)</f>
        <v>0.67595596817168213</v>
      </c>
    </row>
    <row r="416" spans="5:14" x14ac:dyDescent="0.25">
      <c r="E416">
        <v>414</v>
      </c>
      <c r="F416">
        <f>dz.*E416</f>
        <v>9.4131690611631154</v>
      </c>
      <c r="G416">
        <f>G415+L415*dz.</f>
        <v>3.1000860914277943</v>
      </c>
      <c r="H416">
        <f>H415+M415*dz.</f>
        <v>315.77839097841746</v>
      </c>
      <c r="I416">
        <f>I415+N415*dz.</f>
        <v>314.99217000639914</v>
      </c>
      <c r="J416">
        <f>(10^(AntA.-AntB./(AntC.+(H416-273.15)))*101325/760)</f>
        <v>8453.7602230247048</v>
      </c>
      <c r="K416">
        <f>(J416/(R.*H416)-G416)</f>
        <v>0.1199259661987635</v>
      </c>
      <c r="L416">
        <f>a.*kc./G.*K416</f>
        <v>0.10286466321731265</v>
      </c>
      <c r="M416">
        <f>a.*h./(L.*Cpw.)*(H416-I416)+a.*lambda.*kc./(L.*Cpw.)*K416</f>
        <v>0.5935089046358526</v>
      </c>
      <c r="N416">
        <f>a.*kc./G.*(H416-I416)</f>
        <v>0.67436901335456811</v>
      </c>
    </row>
    <row r="417" spans="5:14" x14ac:dyDescent="0.25">
      <c r="E417">
        <v>415</v>
      </c>
      <c r="F417">
        <f>dz.*E417</f>
        <v>9.4359061844992596</v>
      </c>
      <c r="G417">
        <f>G416+L416*dz.</f>
        <v>3.1024249379622972</v>
      </c>
      <c r="H417">
        <f>H416+M416*dz.</f>
        <v>315.79188566358329</v>
      </c>
      <c r="I417">
        <f>I416+N416*dz.</f>
        <v>315.00750321782988</v>
      </c>
      <c r="J417">
        <f>(10^(AntA.-AntB./(AntC.+(H417-273.15)))*101325/760)</f>
        <v>8459.7274874529794</v>
      </c>
      <c r="K417">
        <f>(J417/(R.*H417)-G417)</f>
        <v>0.11972233549031674</v>
      </c>
      <c r="L417">
        <f>a.*kc./G.*K417</f>
        <v>0.10269000209171153</v>
      </c>
      <c r="M417">
        <f>a.*h./(L.*Cpw.)*(H417-I417)+a.*lambda.*kc./(L.*Cpw.)*K417</f>
        <v>0.59244098336696316</v>
      </c>
      <c r="N417">
        <f>a.*kc./G.*(H417-I417)</f>
        <v>0.6727920455714308</v>
      </c>
    </row>
    <row r="418" spans="5:14" x14ac:dyDescent="0.25">
      <c r="E418">
        <v>416</v>
      </c>
      <c r="F418">
        <f>dz.*E418</f>
        <v>9.458643307835402</v>
      </c>
      <c r="G418">
        <f>G417+L417*dz.</f>
        <v>3.1047598132052454</v>
      </c>
      <c r="H418">
        <f>H417+M417*dz.</f>
        <v>315.80535606729148</v>
      </c>
      <c r="I418">
        <f>I417+N417*dz.</f>
        <v>315.0228005735496</v>
      </c>
      <c r="J418">
        <f>(10^(AntA.-AntB./(AntC.+(H418-273.15)))*101325/760)</f>
        <v>8465.6876331356998</v>
      </c>
      <c r="K418">
        <f>(J418/(R.*H418)-G418)</f>
        <v>0.1195200302228403</v>
      </c>
      <c r="L418">
        <f>a.*kc./G.*K418</f>
        <v>0.10251647784282983</v>
      </c>
      <c r="M418">
        <f>a.*h./(L.*Cpw.)*(H418-I418)+a.*lambda.*kc./(L.*Cpw.)*K418</f>
        <v>0.59137996631456557</v>
      </c>
      <c r="N418">
        <f>a.*kc./G.*(H418-I418)</f>
        <v>0.67122500542711017</v>
      </c>
    </row>
    <row r="419" spans="5:14" x14ac:dyDescent="0.25">
      <c r="E419">
        <v>417</v>
      </c>
      <c r="F419">
        <f>dz.*E419</f>
        <v>9.4813804311715444</v>
      </c>
      <c r="G419">
        <f>G418+L418*dz.</f>
        <v>3.1070907430059447</v>
      </c>
      <c r="H419">
        <f>H418+M418*dz.</f>
        <v>315.81880234652408</v>
      </c>
      <c r="I419">
        <f>I418+N418*dz.</f>
        <v>315.03806229928432</v>
      </c>
      <c r="J419">
        <f>(10^(AntA.-AntB./(AntC.+(H419-273.15)))*101325/760)</f>
        <v>8471.6407118528368</v>
      </c>
      <c r="K419">
        <f>(J419/(R.*H419)-G419)</f>
        <v>0.11931904349404743</v>
      </c>
      <c r="L419">
        <f>a.*kc./G.*K419</f>
        <v>0.10234408455033667</v>
      </c>
      <c r="M419">
        <f>a.*h./(L.*Cpw.)*(H419-I419)+a.*lambda.*kc./(L.*Cpw.)*K419</f>
        <v>0.59032581651265781</v>
      </c>
      <c r="N419">
        <f>a.*kc./G.*(H419-I419)</f>
        <v>0.6696678339575034</v>
      </c>
    </row>
    <row r="420" spans="5:14" x14ac:dyDescent="0.25">
      <c r="E420">
        <v>418</v>
      </c>
      <c r="F420">
        <f>dz.*E420</f>
        <v>9.5041175545076868</v>
      </c>
      <c r="G420">
        <f>G419+L419*dz.</f>
        <v>3.1094177530790903</v>
      </c>
      <c r="H420">
        <f>H419+M419*dz.</f>
        <v>315.83222465742261</v>
      </c>
      <c r="I420">
        <f>I419+N419*dz.</f>
        <v>315.05328861941928</v>
      </c>
      <c r="J420">
        <f>(10^(AntA.-AntB./(AntC.+(H420-273.15)))*101325/760)</f>
        <v>8477.5867751963833</v>
      </c>
      <c r="K420">
        <f>(J420/(R.*H420)-G420)</f>
        <v>0.11911936846459614</v>
      </c>
      <c r="L420">
        <f>a.*kc./G.*K420</f>
        <v>0.10217281634789108</v>
      </c>
      <c r="M420">
        <f>a.*h./(L.*Cpw.)*(H420-I420)+a.*lambda.*kc./(L.*Cpw.)*K420</f>
        <v>0.58927849731721726</v>
      </c>
      <c r="N420">
        <f>a.*kc./G.*(H420-I420)</f>
        <v>0.66812047262761398</v>
      </c>
    </row>
    <row r="421" spans="5:14" x14ac:dyDescent="0.25">
      <c r="E421">
        <v>419</v>
      </c>
      <c r="F421">
        <f>dz.*E421</f>
        <v>9.5268546778438292</v>
      </c>
      <c r="G421">
        <f>G420+L420*dz.</f>
        <v>3.1117408690059936</v>
      </c>
      <c r="H421">
        <f>H420+M420*dz.</f>
        <v>315.84562315529547</v>
      </c>
      <c r="I421">
        <f>I420+N420*dz.</f>
        <v>315.06847975700879</v>
      </c>
      <c r="J421">
        <f>(10^(AntA.-AntB./(AntC.+(H421-273.15)))*101325/760)</f>
        <v>8483.5258745720403</v>
      </c>
      <c r="K421">
        <f>(J421/(R.*H421)-G421)</f>
        <v>0.11892099835749681</v>
      </c>
      <c r="L421">
        <f>a.*kc./G.*K421</f>
        <v>0.10200266742263384</v>
      </c>
      <c r="M421">
        <f>a.*h./(L.*Cpw.)*(H421-I421)+a.*lambda.*kc./(L.*Cpw.)*K421</f>
        <v>0.58823797240343456</v>
      </c>
      <c r="N421">
        <f>a.*kc./G.*(H421-I421)</f>
        <v>0.66658286332940708</v>
      </c>
    </row>
    <row r="422" spans="5:14" x14ac:dyDescent="0.25">
      <c r="E422">
        <v>420</v>
      </c>
      <c r="F422">
        <f>dz.*E422</f>
        <v>9.5495918011799734</v>
      </c>
      <c r="G422">
        <f>G421+L421*dz.</f>
        <v>3.1140601162357977</v>
      </c>
      <c r="H422">
        <f>H421+M421*dz.</f>
        <v>315.85899799462499</v>
      </c>
      <c r="I422">
        <f>I421+N421*dz.</f>
        <v>315.08363593378607</v>
      </c>
      <c r="J422">
        <f>(10^(AntA.-AntB./(AntC.+(H422-273.15)))*101325/760)</f>
        <v>8489.4580612008358</v>
      </c>
      <c r="K422">
        <f>(J422/(R.*H422)-G422)</f>
        <v>0.11872392645751662</v>
      </c>
      <c r="L422">
        <f>a.*kc./G.*K422</f>
        <v>0.10183363201467673</v>
      </c>
      <c r="M422">
        <f>a.*h./(L.*Cpw.)*(H422-I422)+a.*lambda.*kc./(L.*Cpw.)*K422</f>
        <v>0.58720420576290611</v>
      </c>
      <c r="N422">
        <f>a.*kc./G.*(H422-I422)</f>
        <v>0.66505494837946844</v>
      </c>
    </row>
    <row r="423" spans="5:14" x14ac:dyDescent="0.25">
      <c r="E423">
        <v>421</v>
      </c>
      <c r="F423">
        <f>dz.*E423</f>
        <v>9.5723289245161158</v>
      </c>
      <c r="G423">
        <f>G422+L422*dz.</f>
        <v>3.1163755200866827</v>
      </c>
      <c r="H423">
        <f>H422+M422*dz.</f>
        <v>315.87234932907489</v>
      </c>
      <c r="I423">
        <f>I422+N422*dz.</f>
        <v>315.09875737017268</v>
      </c>
      <c r="J423">
        <f>(10^(AntA.-AntB./(AntC.+(H423-273.15)))*101325/760)</f>
        <v>8495.3833861207913</v>
      </c>
      <c r="K423">
        <f>(J423/(R.*H423)-G423)</f>
        <v>0.11852814611059426</v>
      </c>
      <c r="L423">
        <f>a.*kc./G.*K423</f>
        <v>0.10166570441660043</v>
      </c>
      <c r="M423">
        <f>a.*h./(L.*Cpw.)*(H423-I423)+a.*lambda.*kc./(L.*Cpw.)*K423</f>
        <v>0.58617716170095857</v>
      </c>
      <c r="N423">
        <f>a.*kc./G.*(H423-I423)</f>
        <v>0.66353667051729859</v>
      </c>
    </row>
    <row r="424" spans="5:14" x14ac:dyDescent="0.25">
      <c r="E424">
        <v>422</v>
      </c>
      <c r="F424">
        <f>dz.*E424</f>
        <v>9.5950660478522583</v>
      </c>
      <c r="G424">
        <f>G423+L423*dz.</f>
        <v>3.1186871057470587</v>
      </c>
      <c r="H424">
        <f>H423+M423*dz.</f>
        <v>315.88567731149732</v>
      </c>
      <c r="I424">
        <f>I423+N423*dz.</f>
        <v>315.11384428528828</v>
      </c>
      <c r="J424">
        <f>(10^(AntA.-AntB./(AntC.+(H424-273.15)))*101325/760)</f>
        <v>8501.3019001885823</v>
      </c>
      <c r="K424">
        <f>(J424/(R.*H424)-G424)</f>
        <v>0.11833365072328261</v>
      </c>
      <c r="L424">
        <f>a.*kc./G.*K424</f>
        <v>0.10149887897297653</v>
      </c>
      <c r="M424">
        <f>a.*h./(L.*Cpw.)*(H424-I424)+a.*lambda.*kc./(L.*Cpw.)*K424</f>
        <v>0.58515680483399446</v>
      </c>
      <c r="N424">
        <f>a.*kc./G.*(H424-I424)</f>
        <v>0.66202797290292337</v>
      </c>
    </row>
    <row r="425" spans="5:14" x14ac:dyDescent="0.25">
      <c r="E425">
        <v>423</v>
      </c>
      <c r="F425">
        <f>dz.*E425</f>
        <v>9.6178031711884007</v>
      </c>
      <c r="G425">
        <f>G424+L424*dz.</f>
        <v>3.1209948982767473</v>
      </c>
      <c r="H425">
        <f>H424+M424*dz.</f>
        <v>315.89898209393982</v>
      </c>
      <c r="I425">
        <f>I424+N424*dz.</f>
        <v>315.12889689696016</v>
      </c>
      <c r="J425">
        <f>(10^(AntA.-AntB./(AntC.+(H425-273.15)))*101325/760)</f>
        <v>8507.2136540810716</v>
      </c>
      <c r="K425">
        <f>(J425/(R.*H425)-G425)</f>
        <v>0.11814043376214434</v>
      </c>
      <c r="L425">
        <f>a.*kc./G.*K425</f>
        <v>0.10133315007984908</v>
      </c>
      <c r="M425">
        <f>a.*h./(L.*Cpw.)*(H425-I425)+a.*lambda.*kc./(L.*Cpw.)*K425</f>
        <v>0.58414310008668213</v>
      </c>
      <c r="N425">
        <f>a.*kc./G.*(H425-I425)</f>
        <v>0.66052879911479756</v>
      </c>
    </row>
    <row r="426" spans="5:14" x14ac:dyDescent="0.25">
      <c r="E426">
        <v>424</v>
      </c>
      <c r="F426">
        <f>dz.*E426</f>
        <v>9.6405402945245431</v>
      </c>
      <c r="G426">
        <f>G425+L425*dz.</f>
        <v>3.1232989226081527</v>
      </c>
      <c r="H426">
        <f>H425+M425*dz.</f>
        <v>315.91226382765245</v>
      </c>
      <c r="I426">
        <f>I425+N425*dz.</f>
        <v>315.14391542173269</v>
      </c>
      <c r="J426">
        <f>(10^(AntA.-AntB./(AntC.+(H426-273.15)))*101325/760)</f>
        <v>8513.118698296943</v>
      </c>
      <c r="K426">
        <f>(J426/(R.*H426)-G426)</f>
        <v>0.11794848875319675</v>
      </c>
      <c r="L426">
        <f>a.*kc./G.*K426</f>
        <v>0.10116851218425844</v>
      </c>
      <c r="M426">
        <f>a.*h./(L.*Cpw.)*(H426-I426)+a.*lambda.*kc./(L.*Cpw.)*K426</f>
        <v>0.58313601268935156</v>
      </c>
      <c r="N426">
        <f>a.*kc./G.*(H426-I426)</f>
        <v>0.65903909314770848</v>
      </c>
    </row>
    <row r="427" spans="5:14" x14ac:dyDescent="0.25">
      <c r="E427">
        <v>425</v>
      </c>
      <c r="F427">
        <f>dz.*E427</f>
        <v>9.6632774178606873</v>
      </c>
      <c r="G427">
        <f>G426+L426*dz.</f>
        <v>3.12559920354742</v>
      </c>
      <c r="H427">
        <f>H426+M426*dz.</f>
        <v>315.92552266309474</v>
      </c>
      <c r="I427">
        <f>I426+N426*dz.</f>
        <v>315.1589000748769</v>
      </c>
      <c r="J427">
        <f>(10^(AntA.-AntB./(AntC.+(H427-273.15)))*101325/760)</f>
        <v>8519.0170831583764</v>
      </c>
      <c r="K427">
        <f>(J427/(R.*H427)-G427)</f>
        <v>0.1177578092813869</v>
      </c>
      <c r="L427">
        <f>a.*kc./G.*K427</f>
        <v>0.10100495978379109</v>
      </c>
      <c r="M427">
        <f>a.*h./(L.*Cpw.)*(H427-I427)+a.*lambda.*kc./(L.*Cpw.)*K427</f>
        <v>0.58213550817550186</v>
      </c>
      <c r="N427">
        <f>a.*kc./G.*(H427-I427)</f>
        <v>0.6575587994105816</v>
      </c>
    </row>
    <row r="428" spans="5:14" x14ac:dyDescent="0.25">
      <c r="E428">
        <v>426</v>
      </c>
      <c r="F428">
        <f>dz.*E428</f>
        <v>9.6860145411968297</v>
      </c>
      <c r="G428">
        <f>G427+L427*dz.</f>
        <v>3.1278957657755861</v>
      </c>
      <c r="H428">
        <f>H427+M427*dz.</f>
        <v>315.93875874994245</v>
      </c>
      <c r="I428">
        <f>I427+N427*dz.</f>
        <v>315.17385107039985</v>
      </c>
      <c r="J428">
        <f>(10^(AntA.-AntB./(AntC.+(H428-273.15)))*101325/760)</f>
        <v>8524.9088588125214</v>
      </c>
      <c r="K428">
        <f>(J428/(R.*H428)-G428)</f>
        <v>0.11756838899000011</v>
      </c>
      <c r="L428">
        <f>a.*kc./G.*K428</f>
        <v>0.10084248742607221</v>
      </c>
      <c r="M428">
        <f>a.*h./(L.*Cpw.)*(H428-I428)+a.*lambda.*kc./(L.*Cpw.)*K428</f>
        <v>0.58114155237902487</v>
      </c>
      <c r="N428">
        <f>a.*kc./G.*(H428-I428)</f>
        <v>0.6560878627242378</v>
      </c>
    </row>
    <row r="429" spans="5:14" x14ac:dyDescent="0.25">
      <c r="E429">
        <v>427</v>
      </c>
      <c r="F429">
        <f>dz.*E429</f>
        <v>9.7087516645329721</v>
      </c>
      <c r="G429">
        <f>G428+L428*dz.</f>
        <v>3.1301886338497162</v>
      </c>
      <c r="H429">
        <f>H428+M428*dz.</f>
        <v>315.95197223709465</v>
      </c>
      <c r="I429">
        <f>I428+N428*dz.</f>
        <v>315.18876862105395</v>
      </c>
      <c r="J429">
        <f>(10^(AntA.-AntB./(AntC.+(H429-273.15)))*101325/760)</f>
        <v>8530.794075233156</v>
      </c>
      <c r="K429">
        <f>(J429/(R.*H429)-G429)</f>
        <v>0.1173802215801425</v>
      </c>
      <c r="L429">
        <f>a.*kc./G.*K429</f>
        <v>0.10068108970832194</v>
      </c>
      <c r="M429">
        <f>a.*h./(L.*Cpw.)*(H429-I429)+a.*lambda.*kc./(L.*Cpw.)*K429</f>
        <v>0.58015411143177831</v>
      </c>
      <c r="N429">
        <f>a.*kc./G.*(H429-I429)</f>
        <v>0.65462622831944361</v>
      </c>
    </row>
    <row r="430" spans="5:14" x14ac:dyDescent="0.25">
      <c r="E430">
        <v>428</v>
      </c>
      <c r="F430">
        <f>dz.*E430</f>
        <v>9.7314887878691145</v>
      </c>
      <c r="G430">
        <f>G429+L429*dz.</f>
        <v>3.1324778322040316</v>
      </c>
      <c r="H430">
        <f>H429+M429*dz.</f>
        <v>315.96516327268023</v>
      </c>
      <c r="I430">
        <f>I429+N429*dz.</f>
        <v>315.20365293834635</v>
      </c>
      <c r="J430">
        <f>(10^(AntA.-AntB./(AntC.+(H430-273.15)))*101325/760)</f>
        <v>8536.6727822222583</v>
      </c>
      <c r="K430">
        <f>(J430/(R.*H430)-G430)</f>
        <v>0.11719330081021395</v>
      </c>
      <c r="L430">
        <f>a.*kc./G.*K430</f>
        <v>0.10052076127690324</v>
      </c>
      <c r="M430">
        <f>a.*h./(L.*Cpw.)*(H430-I430)+a.*lambda.*kc./(L.*Cpw.)*K430</f>
        <v>0.57917315176105055</v>
      </c>
      <c r="N430">
        <f>a.*kc./G.*(H430-I430)</f>
        <v>0.65317384183447258</v>
      </c>
    </row>
    <row r="431" spans="5:14" x14ac:dyDescent="0.25">
      <c r="E431">
        <v>429</v>
      </c>
      <c r="F431">
        <f>dz.*E431</f>
        <v>9.7542259112052569</v>
      </c>
      <c r="G431">
        <f>G430+L430*dz.</f>
        <v>3.1347633851510275</v>
      </c>
      <c r="H431">
        <f>H430+M430*dz.</f>
        <v>315.97833200406478</v>
      </c>
      <c r="I431">
        <f>I430+N430*dz.</f>
        <v>315.21850423254807</v>
      </c>
      <c r="J431">
        <f>(10^(AntA.-AntB./(AntC.+(H431-273.15)))*101325/760)</f>
        <v>8542.5450294115562</v>
      </c>
      <c r="K431">
        <f>(J431/(R.*H431)-G431)</f>
        <v>0.11700762049536984</v>
      </c>
      <c r="L431">
        <f>a.*kc./G.*K431</f>
        <v>0.1003614968268602</v>
      </c>
      <c r="M431">
        <f>a.*h./(L.*Cpw.)*(H431-I431)+a.*lambda.*kc./(L.*Cpw.)*K431</f>
        <v>0.57819864008704647</v>
      </c>
      <c r="N431">
        <f>a.*kc./G.*(H431-I431)</f>
        <v>0.65173064931315583</v>
      </c>
    </row>
    <row r="432" spans="5:14" x14ac:dyDescent="0.25">
      <c r="E432">
        <v>430</v>
      </c>
      <c r="F432">
        <f>dz.*E432</f>
        <v>9.7769630345414011</v>
      </c>
      <c r="G432">
        <f>G431+L431*dz.</f>
        <v>3.1370453168825798</v>
      </c>
      <c r="H432">
        <f>H431+M431*dz.</f>
        <v>315.99147857785721</v>
      </c>
      <c r="I432">
        <f>I431+N431*dz.</f>
        <v>315.23332271270345</v>
      </c>
      <c r="J432">
        <f>(10^(AntA.-AntB./(AntC.+(H432-273.15)))*101325/760)</f>
        <v>8548.4108662640756</v>
      </c>
      <c r="K432">
        <f>(J432/(R.*H432)-G432)</f>
        <v>0.11682317450699875</v>
      </c>
      <c r="L432">
        <f>a.*kc./G.*K432</f>
        <v>0.10020329110147018</v>
      </c>
      <c r="M432">
        <f>a.*h./(L.*Cpw.)*(H432-I432)+a.*lambda.*kc./(L.*Cpw.)*K432</f>
        <v>0.57723054342037228</v>
      </c>
      <c r="N432">
        <f>a.*kc./G.*(H432-I432)</f>
        <v>0.65029659720244337</v>
      </c>
    </row>
    <row r="433" spans="5:14" x14ac:dyDescent="0.25">
      <c r="E433">
        <v>431</v>
      </c>
      <c r="F433">
        <f>dz.*E433</f>
        <v>9.7997001578775436</v>
      </c>
      <c r="G433">
        <f>G432+L432*dz.</f>
        <v>3.1393236514710412</v>
      </c>
      <c r="H433">
        <f>H432+M432*dz.</f>
        <v>316.00460313991636</v>
      </c>
      <c r="I433">
        <f>I432+N432*dz.</f>
        <v>315.24810858663915</v>
      </c>
      <c r="J433">
        <f>(10^(AntA.-AntB./(AntC.+(H433-273.15)))*101325/760)</f>
        <v>8554.2703420756952</v>
      </c>
      <c r="K433">
        <f>(J433/(R.*H433)-G433)</f>
        <v>0.11663995677221672</v>
      </c>
      <c r="L433">
        <f>a.*kc./G.*K433</f>
        <v>0.10004613889180979</v>
      </c>
      <c r="M433">
        <f>a.*h./(L.*Cpw.)*(H433-I433)+a.*lambda.*kc./(L.*Cpw.)*K433</f>
        <v>0.57626882905965049</v>
      </c>
      <c r="N433">
        <f>a.*kc./G.*(H433-I433)</f>
        <v>0.64887163235040612</v>
      </c>
    </row>
    <row r="434" spans="5:14" x14ac:dyDescent="0.25">
      <c r="E434">
        <v>432</v>
      </c>
      <c r="F434">
        <f>dz.*E434</f>
        <v>9.822437281213686</v>
      </c>
      <c r="G434">
        <f>G433+L433*dz.</f>
        <v>3.1415984128703291</v>
      </c>
      <c r="H434">
        <f>H433+M433*dz.</f>
        <v>316.01770583535745</v>
      </c>
      <c r="I434">
        <f>I433+N433*dz.</f>
        <v>315.26286206097325</v>
      </c>
      <c r="J434">
        <f>(10^(AntA.-AntB./(AntC.+(H434-273.15)))*101325/760)</f>
        <v>8560.1235059766368</v>
      </c>
      <c r="K434">
        <f>(J434/(R.*H434)-G434)</f>
        <v>0.11645796127333297</v>
      </c>
      <c r="L434">
        <f>a.*kc./G.*K434</f>
        <v>9.9890035036296829E-2</v>
      </c>
      <c r="M434">
        <f>a.*h./(L.*Cpw.)*(H434-I434)+a.*lambda.*kc./(L.*Cpw.)*K434</f>
        <v>0.57531346458896826</v>
      </c>
      <c r="N434">
        <f>a.*kc./G.*(H434-I434)</f>
        <v>0.64745570200389435</v>
      </c>
    </row>
    <row r="435" spans="5:14" x14ac:dyDescent="0.25">
      <c r="E435">
        <v>433</v>
      </c>
      <c r="F435">
        <f>dz.*E435</f>
        <v>9.8451744045498284</v>
      </c>
      <c r="G435">
        <f>G434+L434*dz.</f>
        <v>3.1438696249170008</v>
      </c>
      <c r="H435">
        <f>H434+M434*dz.</f>
        <v>316.03078680855873</v>
      </c>
      <c r="I435">
        <f>I434+N434*dz.</f>
        <v>315.2775833411244</v>
      </c>
      <c r="J435">
        <f>(10^(AntA.-AntB./(AntC.+(H435-273.15)))*101325/760)</f>
        <v>8565.970406933131</v>
      </c>
      <c r="K435">
        <f>(J435/(R.*H435)-G435)</f>
        <v>0.11627718204741155</v>
      </c>
      <c r="L435">
        <f>a.*kc./G.*K435</f>
        <v>9.973497442031419E-2</v>
      </c>
      <c r="M435">
        <f>a.*h./(L.*Cpw.)*(H435-I435)+a.*lambda.*kc./(L.*Cpw.)*K435</f>
        <v>0.57436441787575909</v>
      </c>
      <c r="N435">
        <f>a.*kc./G.*(H435-I435)</f>
        <v>0.64604875380644244</v>
      </c>
    </row>
    <row r="436" spans="5:14" x14ac:dyDescent="0.25">
      <c r="E436">
        <v>434</v>
      </c>
      <c r="F436">
        <f>dz.*E436</f>
        <v>9.8679115278859726</v>
      </c>
      <c r="G436">
        <f>G435+L435*dz.</f>
        <v>3.1461373113313225</v>
      </c>
      <c r="H436">
        <f>H435+M435*dz.</f>
        <v>316.04384620316785</v>
      </c>
      <c r="I436">
        <f>I435+N435*dz.</f>
        <v>315.29227263132088</v>
      </c>
      <c r="J436">
        <f>(10^(AntA.-AntB./(AntC.+(H436-273.15)))*101325/760)</f>
        <v>8571.8110937487927</v>
      </c>
      <c r="K436">
        <f>(J436/(R.*H436)-G436)</f>
        <v>0.11609761318571188</v>
      </c>
      <c r="L436">
        <f>a.*kc./G.*K436</f>
        <v>9.9580951975730012E-2</v>
      </c>
      <c r="M436">
        <f>a.*h./(L.*Cpw.)*(H436-I436)+a.*lambda.*kc./(L.*Cpw.)*K436</f>
        <v>0.57342165706814652</v>
      </c>
      <c r="N436">
        <f>a.*kc./G.*(H436-I436)</f>
        <v>0.64465073579592747</v>
      </c>
    </row>
    <row r="437" spans="5:14" x14ac:dyDescent="0.25">
      <c r="E437">
        <v>435</v>
      </c>
      <c r="F437">
        <f>dz.*E437</f>
        <v>9.890648651222115</v>
      </c>
      <c r="G437">
        <f>G436+L436*dz.</f>
        <v>3.1484014957183253</v>
      </c>
      <c r="H437">
        <f>H436+M436*dz.</f>
        <v>316.05688416210825</v>
      </c>
      <c r="I437">
        <f>I436+N436*dz.</f>
        <v>315.30693013460939</v>
      </c>
      <c r="J437">
        <f>(10^(AntA.-AntB./(AntC.+(H437-273.15)))*101325/760)</f>
        <v>8577.6456150662452</v>
      </c>
      <c r="K437">
        <f>(J437/(R.*H437)-G437)</f>
        <v>0.11591924883324944</v>
      </c>
      <c r="L437">
        <f>a.*kc./G.*K437</f>
        <v>9.9427962680520884E-2</v>
      </c>
      <c r="M437">
        <f>a.*h./(L.*Cpw.)*(H437-I437)+a.*lambda.*kc./(L.*Cpw.)*K437</f>
        <v>0.57248515059283545</v>
      </c>
      <c r="N437">
        <f>a.*kc./G.*(H437-I437)</f>
        <v>0.64326159640257086</v>
      </c>
    </row>
    <row r="438" spans="5:14" x14ac:dyDescent="0.25">
      <c r="E438">
        <v>436</v>
      </c>
      <c r="F438">
        <f>dz.*E438</f>
        <v>9.9133857745582574</v>
      </c>
      <c r="G438">
        <f>G437+L437*dz.</f>
        <v>3.1506622015688537</v>
      </c>
      <c r="H438">
        <f>H437+M437*dz.</f>
        <v>316.0699008275854</v>
      </c>
      <c r="I438">
        <f>I437+N437*dz.</f>
        <v>315.3215560528642</v>
      </c>
      <c r="J438">
        <f>(10^(AntA.-AntB./(AntC.+(H438-273.15)))*101325/760)</f>
        <v>8583.4740193685193</v>
      </c>
      <c r="K438">
        <f>(J438/(R.*H438)-G438)</f>
        <v>0.11574208318827273</v>
      </c>
      <c r="L438">
        <f>a.*kc./G.*K438</f>
        <v>9.9276001558323182E-2</v>
      </c>
      <c r="M438">
        <f>a.*h./(L.*Cpw.)*(H438-I438)+a.*lambda.*kc./(L.*Cpw.)*K438</f>
        <v>0.57155486715257364</v>
      </c>
      <c r="N438">
        <f>a.*kc./G.*(H438-I438)</f>
        <v>0.64188128444635406</v>
      </c>
    </row>
    <row r="439" spans="5:14" x14ac:dyDescent="0.25">
      <c r="E439">
        <v>437</v>
      </c>
      <c r="F439">
        <f>dz.*E439</f>
        <v>9.9361228978943998</v>
      </c>
      <c r="G439">
        <f>G438+L438*dz.</f>
        <v>3.1529194522606043</v>
      </c>
      <c r="H439">
        <f>H438+M438*dz.</f>
        <v>316.0828963410932</v>
      </c>
      <c r="I439">
        <f>I438+N438*dz.</f>
        <v>315.33615058679584</v>
      </c>
      <c r="J439">
        <f>(10^(AntA.-AntB./(AntC.+(H439-273.15)))*101325/760)</f>
        <v>8589.2963549806227</v>
      </c>
      <c r="K439">
        <f>(J439/(R.*H439)-G439)</f>
        <v>0.11556611050181465</v>
      </c>
      <c r="L439">
        <f>a.*kc./G.*K439</f>
        <v>9.9125063678048325E-2</v>
      </c>
      <c r="M439">
        <f>a.*h./(L.*Cpw.)*(H439-I439)+a.*lambda.*kc./(L.*Cpw.)*K439</f>
        <v>0.57063077572401777</v>
      </c>
      <c r="N439">
        <f>a.*kc./G.*(H439-I439)</f>
        <v>0.64050974913511705</v>
      </c>
    </row>
    <row r="440" spans="5:14" x14ac:dyDescent="0.25">
      <c r="E440">
        <v>438</v>
      </c>
      <c r="F440">
        <f>dz.*E440</f>
        <v>9.9588600212305423</v>
      </c>
      <c r="G440">
        <f>G439+L439*dz.</f>
        <v>3.1551732710591551</v>
      </c>
      <c r="H440">
        <f>H439+M439*dz.</f>
        <v>316.09587084342024</v>
      </c>
      <c r="I440">
        <f>I439+N439*dz.</f>
        <v>315.3507139359599</v>
      </c>
      <c r="J440">
        <f>(10^(AntA.-AntB./(AntC.+(H440-273.15)))*101325/760)</f>
        <v>8595.1126700710902</v>
      </c>
      <c r="K440">
        <f>(J440/(R.*H440)-G440)</f>
        <v>0.11539132507724537</v>
      </c>
      <c r="L440">
        <f>a.*kc./G.*K440</f>
        <v>9.8975144153499187E-2</v>
      </c>
      <c r="M440">
        <f>a.*h./(L.*Cpw.)*(H440-I440)+a.*lambda.*kc./(L.*Cpw.)*K440</f>
        <v>0.56971284555556545</v>
      </c>
      <c r="N440">
        <f>a.*kc./G.*(H440-I440)</f>
        <v>0.63914694006236417</v>
      </c>
    </row>
    <row r="441" spans="5:14" x14ac:dyDescent="0.25">
      <c r="E441">
        <v>439</v>
      </c>
      <c r="F441">
        <f>dz.*E441</f>
        <v>9.9815971445666865</v>
      </c>
      <c r="G441">
        <f>G440+L440*dz.</f>
        <v>3.1574236811189857</v>
      </c>
      <c r="H441">
        <f>H440+M440*dz.</f>
        <v>316.10882447465582</v>
      </c>
      <c r="I441">
        <f>I440+N440*dz.</f>
        <v>315.36524629876601</v>
      </c>
      <c r="J441">
        <f>(10^(AntA.-AntB./(AntC.+(H441-273.15)))*101325/760)</f>
        <v>8600.9230126533075</v>
      </c>
      <c r="K441">
        <f>(J441/(R.*H441)-G441)</f>
        <v>0.11521772126975138</v>
      </c>
      <c r="L441">
        <f>a.*kc./G.*K441</f>
        <v>9.8826238142923337E-2</v>
      </c>
      <c r="M441">
        <f>a.*h./(L.*Cpw.)*(H441-I441)+a.*lambda.*kc./(L.*Cpw.)*K441</f>
        <v>0.56880104616483185</v>
      </c>
      <c r="N441">
        <f>a.*kc./G.*(H441-I441)</f>
        <v>0.63779280720472931</v>
      </c>
    </row>
    <row r="442" spans="5:14" x14ac:dyDescent="0.25">
      <c r="E442">
        <v>440</v>
      </c>
      <c r="F442">
        <f>dz.*E442</f>
        <v>10.004334267902829</v>
      </c>
      <c r="G442">
        <f>G441+L441*dz.</f>
        <v>3.1596707054844884</v>
      </c>
      <c r="H442">
        <f>H441+M441*dz.</f>
        <v>316.12175737419619</v>
      </c>
      <c r="I442">
        <f>I441+N441*dz.</f>
        <v>315.37974787248635</v>
      </c>
      <c r="J442">
        <f>(10^(AntA.-AntB./(AntC.+(H442-273.15)))*101325/760)</f>
        <v>8606.7274305871142</v>
      </c>
      <c r="K442">
        <f>(J442/(R.*H442)-G442)</f>
        <v>0.1150452934859274</v>
      </c>
      <c r="L442">
        <f>a.*kc./G.*K442</f>
        <v>9.8678340848662935E-2</v>
      </c>
      <c r="M442">
        <f>a.*h./(L.*Cpw.)*(H442-I442)+a.*lambda.*kc./(L.*Cpw.)*K442</f>
        <v>0.56789534733667779</v>
      </c>
      <c r="N442">
        <f>a.*kc./G.*(H442-I442)</f>
        <v>0.63644730092002477</v>
      </c>
    </row>
    <row r="443" spans="5:14" x14ac:dyDescent="0.25">
      <c r="E443">
        <v>441</v>
      </c>
      <c r="F443">
        <f>dz.*E443</f>
        <v>10.027071391238971</v>
      </c>
      <c r="G443">
        <f>G442+L442*dz.</f>
        <v>3.1619143670909704</v>
      </c>
      <c r="H443">
        <f>H442+M442*dz.</f>
        <v>316.13466968075062</v>
      </c>
      <c r="I443">
        <f>I442+N442*dz.</f>
        <v>315.39421885326431</v>
      </c>
      <c r="J443">
        <f>(10^(AntA.-AntB./(AntC.+(H443-273.15)))*101325/760)</f>
        <v>8612.5259715802695</v>
      </c>
      <c r="K443">
        <f>(J443/(R.*H443)-G443)</f>
        <v>0.11487403618332159</v>
      </c>
      <c r="L443">
        <f>a.*kc./G.*K443</f>
        <v>9.8531447516764695E-2</v>
      </c>
      <c r="M443">
        <f>a.*h./(L.*Cpw.)*(H443-I443)+a.*lambda.*kc./(L.*Cpw.)*K443</f>
        <v>0.56699571912100333</v>
      </c>
      <c r="N443">
        <f>a.*kc./G.*(H443-I443)</f>
        <v>0.6351103719449992</v>
      </c>
    </row>
    <row r="444" spans="5:14" x14ac:dyDescent="0.25">
      <c r="E444">
        <v>442</v>
      </c>
      <c r="F444">
        <f>dz.*E444</f>
        <v>10.049808514575114</v>
      </c>
      <c r="G444">
        <f>G443+L443*dz.</f>
        <v>3.164154688765648</v>
      </c>
      <c r="H444">
        <f>H443+M443*dz.</f>
        <v>316.14756153234731</v>
      </c>
      <c r="I444">
        <f>I443+N443*dz.</f>
        <v>315.40865943612329</v>
      </c>
      <c r="J444">
        <f>(10^(AntA.-AntB./(AntC.+(H444-273.15)))*101325/760)</f>
        <v>8618.3186831897783</v>
      </c>
      <c r="K444">
        <f>(J444/(R.*H444)-G444)</f>
        <v>0.11470394386994398</v>
      </c>
      <c r="L444">
        <f>a.*kc./G.*K444</f>
        <v>9.8385553436558221E-2</v>
      </c>
      <c r="M444">
        <f>a.*h./(L.*Cpw.)*(H444-I444)+a.*lambda.*kc./(L.*Cpw.)*K444</f>
        <v>0.56610213183036029</v>
      </c>
      <c r="N444">
        <f>a.*kc./G.*(H444-I444)</f>
        <v>0.63378197139289949</v>
      </c>
    </row>
    <row r="445" spans="5:14" x14ac:dyDescent="0.25">
      <c r="E445">
        <v>443</v>
      </c>
      <c r="F445">
        <f>dz.*E445</f>
        <v>10.072545637911256</v>
      </c>
      <c r="G445">
        <f>G444+L444*dz.</f>
        <v>3.1663916932286296</v>
      </c>
      <c r="H445">
        <f>H444+M444*dz.</f>
        <v>316.16043306633958</v>
      </c>
      <c r="I445">
        <f>I444+N444*dz.</f>
        <v>315.42306981497507</v>
      </c>
      <c r="J445">
        <f>(10^(AntA.-AntB./(AntC.+(H445-273.15)))*101325/760)</f>
        <v>8624.1056128235559</v>
      </c>
      <c r="K445">
        <f>(J445/(R.*H445)-G445)</f>
        <v>0.11453501110390452</v>
      </c>
      <c r="L445">
        <f>a.*kc./G.*K445</f>
        <v>9.8240653940345549E-2</v>
      </c>
      <c r="M445">
        <f>a.*h./(L.*Cpw.)*(H445-I445)+a.*lambda.*kc./(L.*Cpw.)*K445</f>
        <v>0.56521455603817916</v>
      </c>
      <c r="N445">
        <f>a.*kc./G.*(H445-I445)</f>
        <v>0.63246205075156914</v>
      </c>
    </row>
    <row r="446" spans="5:14" x14ac:dyDescent="0.25">
      <c r="E446">
        <v>444</v>
      </c>
      <c r="F446">
        <f>dz.*E446</f>
        <v>10.0952827612474</v>
      </c>
      <c r="G446">
        <f>G445+L445*dz.</f>
        <v>3.1686254030938947</v>
      </c>
      <c r="H446">
        <f>H445+M445*dz.</f>
        <v>316.17328441941163</v>
      </c>
      <c r="I446">
        <f>I445+N445*dz.</f>
        <v>315.43745018262842</v>
      </c>
      <c r="J446">
        <f>(10^(AntA.-AntB./(AntC.+(H446-273.15)))*101325/760)</f>
        <v>8629.8868077417192</v>
      </c>
      <c r="K446">
        <f>(J446/(R.*H446)-G446)</f>
        <v>0.11436723249292235</v>
      </c>
      <c r="L446">
        <f>a.*kc./G.*K446</f>
        <v>9.8096744402980274E-2</v>
      </c>
      <c r="M446">
        <f>a.*h./(L.*Cpw.)*(H446-I446)+a.*lambda.*kc./(L.*Cpw.)*K446</f>
        <v>0.56433296257638621</v>
      </c>
      <c r="N446">
        <f>a.*kc./G.*(H446-I446)</f>
        <v>0.63115056188101082</v>
      </c>
    </row>
    <row r="447" spans="5:14" x14ac:dyDescent="0.25">
      <c r="E447">
        <v>445</v>
      </c>
      <c r="F447">
        <f>dz.*E447</f>
        <v>10.118019884583543</v>
      </c>
      <c r="G447">
        <f>G446+L446*dz.</f>
        <v>3.1708558408702592</v>
      </c>
      <c r="H447">
        <f>H446+M446*dz.</f>
        <v>316.18611572758437</v>
      </c>
      <c r="I447">
        <f>I446+N446*dz.</f>
        <v>315.45180073079757</v>
      </c>
      <c r="J447">
        <f>(10^(AntA.-AntB./(AntC.+(H447-273.15)))*101325/760)</f>
        <v>8635.6623150579962</v>
      </c>
      <c r="K447">
        <f>(J447/(R.*H447)-G447)</f>
        <v>0.11420060269388754</v>
      </c>
      <c r="L447">
        <f>a.*kc./G.*K447</f>
        <v>9.7953820241491532E-2</v>
      </c>
      <c r="M447">
        <f>a.*h./(L.*Cpw.)*(H447-I447)+a.*lambda.*kc./(L.*Cpw.)*K447</f>
        <v>0.56345732253326453</v>
      </c>
      <c r="N447">
        <f>a.*kc./G.*(H447-I447)</f>
        <v>0.62984745701114297</v>
      </c>
    </row>
    <row r="448" spans="5:14" x14ac:dyDescent="0.25">
      <c r="E448">
        <v>446</v>
      </c>
      <c r="F448">
        <f>dz.*E448</f>
        <v>10.140757007919685</v>
      </c>
      <c r="G448">
        <f>G447+L447*dz.</f>
        <v>3.1730830289623362</v>
      </c>
      <c r="H448">
        <f>H447+M447*dz.</f>
        <v>316.19892712622146</v>
      </c>
      <c r="I448">
        <f>I447+N447*dz.</f>
        <v>315.46612165011061</v>
      </c>
      <c r="J448">
        <f>(10^(AntA.-AntB./(AntC.+(H448-273.15)))*101325/760)</f>
        <v>8641.4321817413602</v>
      </c>
      <c r="K448">
        <f>(J448/(R.*H448)-G448)</f>
        <v>0.11403511641251241</v>
      </c>
      <c r="L448">
        <f>a.*kc./G.*K448</f>
        <v>9.7811876914785073E-2</v>
      </c>
      <c r="M448">
        <f>a.*h./(L.*Cpw.)*(H448-I448)+a.*lambda.*kc./(L.*Cpw.)*K448</f>
        <v>0.56258760725171653</v>
      </c>
      <c r="N448">
        <f>a.*kc./G.*(H448-I448)</f>
        <v>0.6285526887397529</v>
      </c>
    </row>
    <row r="449" spans="5:14" x14ac:dyDescent="0.25">
      <c r="E449">
        <v>447</v>
      </c>
      <c r="F449">
        <f>dz.*E449</f>
        <v>10.163494131255828</v>
      </c>
      <c r="G449">
        <f>G448+L448*dz.</f>
        <v>3.1753069896714874</v>
      </c>
      <c r="H449">
        <f>H448+M448*dz.</f>
        <v>316.21171875003495</v>
      </c>
      <c r="I449">
        <f>I448+N448*dz.</f>
        <v>315.48041313011777</v>
      </c>
      <c r="J449">
        <f>(10^(AntA.-AntB./(AntC.+(H449-273.15)))*101325/760)</f>
        <v>8647.1964546172203</v>
      </c>
      <c r="K449">
        <f>(J449/(R.*H449)-G449)</f>
        <v>0.11387076840282884</v>
      </c>
      <c r="L449">
        <f>a.*kc./G.*K449</f>
        <v>9.7670909923211979E-2</v>
      </c>
      <c r="M449">
        <f>a.*h./(L.*Cpw.)*(H449-I449)+a.*lambda.*kc./(L.*Cpw.)*K449</f>
        <v>0.56172378832685144</v>
      </c>
      <c r="N449">
        <f>a.*kc./G.*(H449-I449)</f>
        <v>0.62726621003020411</v>
      </c>
    </row>
    <row r="450" spans="5:14" x14ac:dyDescent="0.25">
      <c r="E450">
        <v>448</v>
      </c>
      <c r="F450">
        <f>dz.*E450</f>
        <v>10.18623125459197</v>
      </c>
      <c r="G450">
        <f>G449+L449*dz.</f>
        <v>3.1775277451967647</v>
      </c>
      <c r="H450">
        <f>H449+M449*dz.</f>
        <v>316.22449073309099</v>
      </c>
      <c r="I450">
        <f>I449+N449*dz.</f>
        <v>315.49467535929983</v>
      </c>
      <c r="J450">
        <f>(10^(AntA.-AntB./(AntC.+(H450-273.15)))*101325/760)</f>
        <v>8652.9551803689428</v>
      </c>
      <c r="K450">
        <f>(J450/(R.*H450)-G450)</f>
        <v>0.11370755346681527</v>
      </c>
      <c r="L450">
        <f>a.*kc./G.*K450</f>
        <v>9.753091480824877E-2</v>
      </c>
      <c r="M450">
        <f>a.*h./(L.*Cpw.)*(H450-I450)+a.*lambda.*kc./(L.*Cpw.)*K450</f>
        <v>0.5608658376041179</v>
      </c>
      <c r="N450">
        <f>a.*kc./G.*(H450-I450)</f>
        <v>0.62598797420919439</v>
      </c>
    </row>
    <row r="451" spans="5:14" x14ac:dyDescent="0.25">
      <c r="E451">
        <v>449</v>
      </c>
      <c r="F451">
        <f>dz.*E451</f>
        <v>10.208968377928114</v>
      </c>
      <c r="G451">
        <f>G450+L450*dz.</f>
        <v>3.1797453176358466</v>
      </c>
      <c r="H451">
        <f>H450+M450*dz.</f>
        <v>316.23724320881564</v>
      </c>
      <c r="I451">
        <f>I450+N450*dz.</f>
        <v>315.50890852507638</v>
      </c>
      <c r="J451">
        <f>(10^(AntA.-AntB./(AntC.+(H451-273.15)))*101325/760)</f>
        <v>8658.708405539348</v>
      </c>
      <c r="K451">
        <f>(J451/(R.*H451)-G451)</f>
        <v>0.11354546645402364</v>
      </c>
      <c r="L451">
        <f>a.*kc./G.*K451</f>
        <v>9.7391887152177364E-2</v>
      </c>
      <c r="M451">
        <f>a.*h./(L.*Cpw.)*(H451-I451)+a.*lambda.*kc./(L.*Cpw.)*K451</f>
        <v>0.5600137271774519</v>
      </c>
      <c r="N451">
        <f>a.*kc./G.*(H451-I451)</f>
        <v>0.62471793496461026</v>
      </c>
    </row>
    <row r="452" spans="5:14" x14ac:dyDescent="0.25">
      <c r="E452">
        <v>450</v>
      </c>
      <c r="F452">
        <f>dz.*E452</f>
        <v>10.231705501264257</v>
      </c>
      <c r="G452">
        <f>G451+L451*dz.</f>
        <v>3.1819597289859654</v>
      </c>
      <c r="H452">
        <f>H451+M451*dz.</f>
        <v>316.24997631000042</v>
      </c>
      <c r="I452">
        <f>I451+N451*dz.</f>
        <v>315.52311281381395</v>
      </c>
      <c r="J452">
        <f>(10^(AntA.-AntB./(AntC.+(H452-273.15)))*101325/760)</f>
        <v>8664.456176531894</v>
      </c>
      <c r="K452">
        <f>(J452/(R.*H452)-G452)</f>
        <v>0.11338450226109265</v>
      </c>
      <c r="L452">
        <f>a.*kc./G.*K452</f>
        <v>9.7253822577667709E-2</v>
      </c>
      <c r="M452">
        <f>a.*h./(L.*Cpw.)*(H452-I452)+a.*lambda.*kc./(L.*Cpw.)*K452</f>
        <v>0.55916742938693664</v>
      </c>
      <c r="N452">
        <f>a.*kc./G.*(H452-I452)</f>
        <v>0.62345604634328411</v>
      </c>
    </row>
    <row r="453" spans="5:14" x14ac:dyDescent="0.25">
      <c r="E453">
        <v>451</v>
      </c>
      <c r="F453">
        <f>dz.*E453</f>
        <v>10.254442624600399</v>
      </c>
      <c r="G453">
        <f>G452+L452*dz.</f>
        <v>3.1841710011448252</v>
      </c>
      <c r="H453">
        <f>H452+M452*dz.</f>
        <v>316.26269016880792</v>
      </c>
      <c r="I453">
        <f>I452+N452*dz.</f>
        <v>315.53728841083432</v>
      </c>
      <c r="J453">
        <f>(10^(AntA.-AntB./(AntC.+(H453-273.15)))*101325/760)</f>
        <v>8670.1985396123036</v>
      </c>
      <c r="K453">
        <f>(J453/(R.*H453)-G453)</f>
        <v>0.11322465583143959</v>
      </c>
      <c r="L453">
        <f>a.*kc./G.*K453</f>
        <v>9.7116716747513293E-2</v>
      </c>
      <c r="M453">
        <f>a.*h./(L.*Cpw.)*(H453-I453)+a.*lambda.*kc./(L.*Cpw.)*K453</f>
        <v>0.55832691681720614</v>
      </c>
      <c r="N453">
        <f>a.*kc./G.*(H453-I453)</f>
        <v>0.62220226274875134</v>
      </c>
    </row>
    <row r="454" spans="5:14" x14ac:dyDescent="0.25">
      <c r="E454">
        <v>452</v>
      </c>
      <c r="F454">
        <f>dz.*E454</f>
        <v>10.277179747936541</v>
      </c>
      <c r="G454">
        <f>G453+L453*dz.</f>
        <v>3.1863791559115149</v>
      </c>
      <c r="H454">
        <f>H453+M453*dz.</f>
        <v>316.27538491677745</v>
      </c>
      <c r="I454">
        <f>I453+N453*dz.</f>
        <v>315.55143550042249</v>
      </c>
      <c r="J454">
        <f>(10^(AntA.-AntB./(AntC.+(H454-273.15)))*101325/760)</f>
        <v>8675.9355409098207</v>
      </c>
      <c r="K454">
        <f>(J454/(R.*H454)-G454)</f>
        <v>0.11306592215482247</v>
      </c>
      <c r="L454">
        <f>a.*kc./G.*K454</f>
        <v>9.69805653642557E-2</v>
      </c>
      <c r="M454">
        <f>a.*h./(L.*Cpw.)*(H454-I454)+a.*lambda.*kc./(L.*Cpw.)*K454</f>
        <v>0.55749216229533605</v>
      </c>
      <c r="N454">
        <f>a.*kc./G.*(H454-I454)</f>
        <v>0.62095653893920255</v>
      </c>
    </row>
    <row r="455" spans="5:14" x14ac:dyDescent="0.25">
      <c r="E455">
        <v>453</v>
      </c>
      <c r="F455">
        <f>dz.*E455</f>
        <v>10.299916871272686</v>
      </c>
      <c r="G455">
        <f>G454+L454*dz.</f>
        <v>3.1885842149874106</v>
      </c>
      <c r="H455">
        <f>H454+M454*dz.</f>
        <v>316.2880606848305</v>
      </c>
      <c r="I455">
        <f>I454+N454*dz.</f>
        <v>315.56555426583475</v>
      </c>
      <c r="J455">
        <f>(10^(AntA.-AntB./(AntC.+(H455-273.15)))*101325/760)</f>
        <v>8681.6672264186327</v>
      </c>
      <c r="K455">
        <f>(J455/(R.*H455)-G455)</f>
        <v>0.11290829626696119</v>
      </c>
      <c r="L455">
        <f>a.*kc./G.*K455</f>
        <v>9.6845364169859588E-2</v>
      </c>
      <c r="M455">
        <f>a.*h./(L.*Cpw.)*(H455-I455)+a.*lambda.*kc./(L.*Cpw.)*K455</f>
        <v>0.55666313888895358</v>
      </c>
      <c r="N455">
        <f>a.*kc./G.*(H455-I455)</f>
        <v>0.6197188300252412</v>
      </c>
    </row>
    <row r="456" spans="5:14" x14ac:dyDescent="0.25">
      <c r="E456">
        <v>454</v>
      </c>
      <c r="F456">
        <f>dz.*E456</f>
        <v>10.322653994608828</v>
      </c>
      <c r="G456">
        <f>G455+L455*dz.</f>
        <v>3.1907861999770746</v>
      </c>
      <c r="H456">
        <f>H455+M455*dz.</f>
        <v>316.3007176032761</v>
      </c>
      <c r="I456">
        <f>I455+N455*dz.</f>
        <v>315.57964488930673</v>
      </c>
      <c r="J456">
        <f>(10^(AntA.-AntB./(AntC.+(H456-273.15)))*101325/760)</f>
        <v>8687.3936419992442</v>
      </c>
      <c r="K456">
        <f>(J456/(R.*H456)-G456)</f>
        <v>0.11275177324916275</v>
      </c>
      <c r="L456">
        <f>a.*kc./G.*K456</f>
        <v>9.6711108945391269E-2</v>
      </c>
      <c r="M456">
        <f>a.*h./(L.*Cpw.)*(H456-I456)+a.*lambda.*kc./(L.*Cpw.)*K456</f>
        <v>0.55583981990436293</v>
      </c>
      <c r="N456">
        <f>a.*kc./G.*(H456-I456)</f>
        <v>0.61848909146764008</v>
      </c>
    </row>
    <row r="457" spans="5:14" x14ac:dyDescent="0.25">
      <c r="E457">
        <v>455</v>
      </c>
      <c r="F457">
        <f>dz.*E457</f>
        <v>10.34539111794497</v>
      </c>
      <c r="G457">
        <f>G456+L456*dz.</f>
        <v>3.1929851323891412</v>
      </c>
      <c r="H457">
        <f>H456+M456*dz.</f>
        <v>316.31335580181639</v>
      </c>
      <c r="I457">
        <f>I456+N456*dz.</f>
        <v>315.59370755206152</v>
      </c>
      <c r="J457">
        <f>(10^(AntA.-AntB./(AntC.+(H457-273.15)))*101325/760)</f>
        <v>8693.1148333798192</v>
      </c>
      <c r="K457">
        <f>(J457/(R.*H457)-G457)</f>
        <v>0.11259634822792863</v>
      </c>
      <c r="L457">
        <f>a.*kc./G.*K457</f>
        <v>9.6577795510681949E-2</v>
      </c>
      <c r="M457">
        <f>a.*h./(L.*Cpw.)*(H457-I457)+a.*lambda.*kc./(L.*Cpw.)*K457</f>
        <v>0.55502217888459859</v>
      </c>
      <c r="N457">
        <f>a.*kc./G.*(H457-I457)</f>
        <v>0.61726727907509915</v>
      </c>
    </row>
    <row r="458" spans="5:14" x14ac:dyDescent="0.25">
      <c r="E458">
        <v>456</v>
      </c>
      <c r="F458">
        <f>dz.*E458</f>
        <v>10.368128241281113</v>
      </c>
      <c r="G458">
        <f>G457+L457*dz.</f>
        <v>3.1951810336372004</v>
      </c>
      <c r="H458">
        <f>H457+M457*dz.</f>
        <v>316.32597540955197</v>
      </c>
      <c r="I458">
        <f>I457+N457*dz.</f>
        <v>315.60774243431723</v>
      </c>
      <c r="J458">
        <f>(10^(AntA.-AntB./(AntC.+(H458-273.15)))*101325/760)</f>
        <v>8698.8308461575816</v>
      </c>
      <c r="K458">
        <f>(J458/(R.*H458)-G458)</f>
        <v>0.11244201637460094</v>
      </c>
      <c r="L458">
        <f>a.*kc./G.*K458</f>
        <v>9.6445419724024165E-2</v>
      </c>
      <c r="M458">
        <f>a.*h./(L.*Cpw.)*(H458-I458)+a.*lambda.*kc./(L.*Cpw.)*K458</f>
        <v>0.55421018960768498</v>
      </c>
      <c r="N458">
        <f>a.*kc./G.*(H458-I458)</f>
        <v>0.61605334900234376</v>
      </c>
    </row>
    <row r="459" spans="5:14" x14ac:dyDescent="0.25">
      <c r="E459">
        <v>457</v>
      </c>
      <c r="F459">
        <f>dz.*E459</f>
        <v>10.390865364617255</v>
      </c>
      <c r="G459">
        <f>G458+L458*dz.</f>
        <v>3.1973739250406714</v>
      </c>
      <c r="H459">
        <f>H458+M458*dz.</f>
        <v>316.33857655498724</v>
      </c>
      <c r="I459">
        <f>I458+N458*dz.</f>
        <v>315.62174971529515</v>
      </c>
      <c r="J459">
        <f>(10^(AntA.-AntB./(AntC.+(H459-273.15)))*101325/760)</f>
        <v>8704.541725800198</v>
      </c>
      <c r="K459">
        <f>(J459/(R.*H459)-G459)</f>
        <v>0.11228877290500128</v>
      </c>
      <c r="L459">
        <f>a.*kc./G.*K459</f>
        <v>9.6313977481862059E-2</v>
      </c>
      <c r="M459">
        <f>a.*h./(L.*Cpw.)*(H459-I459)+a.*lambda.*kc./(L.*Cpw.)*K459</f>
        <v>0.55340382608480077</v>
      </c>
      <c r="N459">
        <f>a.*kc./G.*(H459-I459)</f>
        <v>0.6148472577477353</v>
      </c>
    </row>
    <row r="460" spans="5:14" x14ac:dyDescent="0.25">
      <c r="E460">
        <v>458</v>
      </c>
      <c r="F460">
        <f>dz.*E460</f>
        <v>10.413602487953399</v>
      </c>
      <c r="G460">
        <f>G459+L459*dz.</f>
        <v>3.1995638278256711</v>
      </c>
      <c r="H460">
        <f>H459+M459*dz.</f>
        <v>316.35115936603563</v>
      </c>
      <c r="I460">
        <f>I459+N459*dz.</f>
        <v>315.63572957322748</v>
      </c>
      <c r="J460">
        <f>(10^(AntA.-AntB./(AntC.+(H460-273.15)))*101325/760)</f>
        <v>8710.2475176470361</v>
      </c>
      <c r="K460">
        <f>(J460/(R.*H460)-G460)</f>
        <v>0.11213661307903733</v>
      </c>
      <c r="L460">
        <f>a.*kc./G.*K460</f>
        <v>9.6183464718453959E-2</v>
      </c>
      <c r="M460">
        <f>a.*h./(L.*Cpw.)*(H460-I460)+a.*lambda.*kc./(L.*Cpw.)*K460</f>
        <v>0.55260306255833991</v>
      </c>
      <c r="N460">
        <f>a.*kc./G.*(H460-I460)</f>
        <v>0.61364896215112663</v>
      </c>
    </row>
    <row r="461" spans="5:14" x14ac:dyDescent="0.25">
      <c r="E461">
        <v>459</v>
      </c>
      <c r="F461">
        <f>dz.*E461</f>
        <v>10.436339611289542</v>
      </c>
      <c r="G461">
        <f>G460+L460*dz.</f>
        <v>3.2017507631258719</v>
      </c>
      <c r="H461">
        <f>H460+M460*dz.</f>
        <v>316.36372397002498</v>
      </c>
      <c r="I461">
        <f>I460+N460*dz.</f>
        <v>315.64968218536501</v>
      </c>
      <c r="J461">
        <f>(10^(AntA.-AntB./(AntC.+(H461-273.15)))*101325/760)</f>
        <v>8715.9482669106128</v>
      </c>
      <c r="K461">
        <f>(J461/(R.*H461)-G461)</f>
        <v>0.11198553220038088</v>
      </c>
      <c r="L461">
        <f>a.*kc./G.*K461</f>
        <v>9.6053877405596177E-2</v>
      </c>
      <c r="M461">
        <f>a.*h./(L.*Cpw.)*(H461-I461)+a.*lambda.*kc./(L.*Cpw.)*K461</f>
        <v>0.55180787350029314</v>
      </c>
      <c r="N461">
        <f>a.*kc./G.*(H461-I461)</f>
        <v>0.61245841939186219</v>
      </c>
    </row>
    <row r="462" spans="5:14" x14ac:dyDescent="0.25">
      <c r="E462">
        <v>460</v>
      </c>
      <c r="F462">
        <f>dz.*E462</f>
        <v>10.459076734625684</v>
      </c>
      <c r="G462">
        <f>G461+L461*dz.</f>
        <v>3.2039347519833576</v>
      </c>
      <c r="H462">
        <f>H461+M461*dz.</f>
        <v>316.37627049370263</v>
      </c>
      <c r="I462">
        <f>I461+N461*dz.</f>
        <v>315.66360772798498</v>
      </c>
      <c r="J462">
        <f>(10^(AntA.-AntB./(AntC.+(H462-273.15)))*101325/760)</f>
        <v>8721.6440186778345</v>
      </c>
      <c r="K462">
        <f>(J462/(R.*H462)-G462)</f>
        <v>0.11183552561607879</v>
      </c>
      <c r="L462">
        <f>a.*kc./G.*K462</f>
        <v>9.5925211552289322E-2</v>
      </c>
      <c r="M462">
        <f>a.*h./(L.*Cpw.)*(H462-I462)+a.*lambda.*kc./(L.*Cpw.)*K462</f>
        <v>0.55101823361030022</v>
      </c>
      <c r="N462">
        <f>a.*kc./G.*(H462-I462)</f>
        <v>0.61127558698643847</v>
      </c>
    </row>
    <row r="463" spans="5:14" x14ac:dyDescent="0.25">
      <c r="E463">
        <v>461</v>
      </c>
      <c r="F463">
        <f>dz.*E463</f>
        <v>10.481813857961827</v>
      </c>
      <c r="G463">
        <f>G462+L462*dz.</f>
        <v>3.2061158153494675</v>
      </c>
      <c r="H463">
        <f>H462+M462*dz.</f>
        <v>316.3887990632407</v>
      </c>
      <c r="I463">
        <f>I462+N462*dz.</f>
        <v>315.67750637639864</v>
      </c>
      <c r="J463">
        <f>(10^(AntA.-AntB./(AntC.+(H463-273.15)))*101325/760)</f>
        <v>8727.33481791142</v>
      </c>
      <c r="K463">
        <f>(J463/(R.*H463)-G463)</f>
        <v>0.11168658871623904</v>
      </c>
      <c r="L463">
        <f>a.*kc./G.*K463</f>
        <v>9.5797463204469011E-2</v>
      </c>
      <c r="M463">
        <f>a.*h./(L.*Cpw.)*(H463-I463)+a.*lambda.*kc./(L.*Cpw.)*K463</f>
        <v>0.55023411781406484</v>
      </c>
      <c r="N463">
        <f>a.*kc./G.*(H463-I463)</f>
        <v>0.61010042278650445</v>
      </c>
    </row>
    <row r="464" spans="5:14" x14ac:dyDescent="0.25">
      <c r="E464">
        <v>462</v>
      </c>
      <c r="F464">
        <f>dz.*E464</f>
        <v>10.504550981297969</v>
      </c>
      <c r="G464">
        <f>G463+L463*dz.</f>
        <v>3.2082939740856373</v>
      </c>
      <c r="H464">
        <f>H463+M463*dz.</f>
        <v>316.40130980424118</v>
      </c>
      <c r="I464">
        <f>I463+N463*dz.</f>
        <v>315.69137830495896</v>
      </c>
      <c r="J464">
        <f>(10^(AntA.-AntB./(AntC.+(H464-273.15)))*101325/760)</f>
        <v>8733.0207094511752</v>
      </c>
      <c r="K464">
        <f>(J464/(R.*H464)-G464)</f>
        <v>0.11153871693366524</v>
      </c>
      <c r="L464">
        <f>a.*kc./G.*K464</f>
        <v>9.5670628444692402E-2</v>
      </c>
      <c r="M464">
        <f>a.*h./(L.*Cpw.)*(H464-I464)+a.*lambda.*kc./(L.*Cpw.)*K464</f>
        <v>0.5494555012615252</v>
      </c>
      <c r="N464">
        <f>a.*kc./G.*(H464-I464)</f>
        <v>0.60893288497666787</v>
      </c>
    </row>
    <row r="465" spans="5:14" x14ac:dyDescent="0.25">
      <c r="E465">
        <v>463</v>
      </c>
      <c r="F465">
        <f>dz.*E465</f>
        <v>10.527288104634113</v>
      </c>
      <c r="G465">
        <f>G464+L464*dz.</f>
        <v>3.2104692489642308</v>
      </c>
      <c r="H465">
        <f>H464+M464*dz.</f>
        <v>316.41380284174107</v>
      </c>
      <c r="I465">
        <f>I464+N464*dz.</f>
        <v>315.7052236870681</v>
      </c>
      <c r="J465">
        <f>(10^(AntA.-AntB./(AntC.+(H465-273.15)))*101325/760)</f>
        <v>8738.7017380153375</v>
      </c>
      <c r="K465">
        <f>(J465/(R.*H465)-G465)</f>
        <v>0.11139190574352664</v>
      </c>
      <c r="L465">
        <f>a.*kc./G.*K465</f>
        <v>9.5544703391855126E-2</v>
      </c>
      <c r="M465">
        <f>a.*h./(L.*Cpw.)*(H465-I465)+a.*lambda.*kc./(L.*Cpw.)*K465</f>
        <v>0.54868235932519549</v>
      </c>
      <c r="N465">
        <f>a.*kc./G.*(H465-I465)</f>
        <v>0.60777293207244709</v>
      </c>
    </row>
    <row r="466" spans="5:14" x14ac:dyDescent="0.25">
      <c r="E466">
        <v>464</v>
      </c>
      <c r="F466">
        <f>dz.*E466</f>
        <v>10.550025227970256</v>
      </c>
      <c r="G466">
        <f>G465+L465*dz.</f>
        <v>3.2126416606693664</v>
      </c>
      <c r="H466">
        <f>H465+M465*dz.</f>
        <v>316.4262783002174</v>
      </c>
      <c r="I466">
        <f>I465+N465*dz.</f>
        <v>315.71904269518501</v>
      </c>
      <c r="J466">
        <f>(10^(AntA.-AntB./(AntC.+(H466-273.15)))*101325/760)</f>
        <v>8744.3779482018781</v>
      </c>
      <c r="K466">
        <f>(J466/(R.*H466)-G466)</f>
        <v>0.1112461506630158</v>
      </c>
      <c r="L466">
        <f>a.*kc./G.*K466</f>
        <v>9.5419684200897678E-2</v>
      </c>
      <c r="M466">
        <f>a.*h./(L.*Cpw.)*(H466-I466)+a.*lambda.*kc./(L.*Cpw.)*K466</f>
        <v>0.5479146675984331</v>
      </c>
      <c r="N466">
        <f>a.*kc./G.*(H466-I466)</f>
        <v>0.60662052291807778</v>
      </c>
    </row>
    <row r="467" spans="5:14" x14ac:dyDescent="0.25">
      <c r="E467">
        <v>465</v>
      </c>
      <c r="F467">
        <f>dz.*E467</f>
        <v>10.572762351306398</v>
      </c>
      <c r="G467">
        <f>G466+L466*dz.</f>
        <v>3.2148112297977378</v>
      </c>
      <c r="H467">
        <f>H466+M466*dz.</f>
        <v>316.43873630359229</v>
      </c>
      <c r="I467">
        <f>I466+N466*dz.</f>
        <v>315.73283550083283</v>
      </c>
      <c r="J467">
        <f>(10^(AntA.-AntB./(AntC.+(H467-273.15)))*101325/760)</f>
        <v>8750.049384489821</v>
      </c>
      <c r="K467">
        <f>(J467/(R.*H467)-G467)</f>
        <v>0.11110144725102256</v>
      </c>
      <c r="L467">
        <f>a.*kc./G.*K467</f>
        <v>9.5295567062525732E-2</v>
      </c>
      <c r="M467">
        <f>a.*h./(L.*Cpw.)*(H467-I467)+a.*lambda.*kc./(L.*Cpw.)*K467</f>
        <v>0.54715240189380288</v>
      </c>
      <c r="N467">
        <f>a.*kc./G.*(H467-I467)</f>
        <v>0.60547561668451277</v>
      </c>
    </row>
    <row r="468" spans="5:14" x14ac:dyDescent="0.25">
      <c r="E468">
        <v>466</v>
      </c>
      <c r="F468">
        <f>dz.*E468</f>
        <v>10.595499474642541</v>
      </c>
      <c r="G468">
        <f>G467+L467*dz.</f>
        <v>3.2169779768594262</v>
      </c>
      <c r="H468">
        <f>H467+M467*dz.</f>
        <v>316.45117697523784</v>
      </c>
      <c r="I468">
        <f>I467+N467*dz.</f>
        <v>315.7466022746064</v>
      </c>
      <c r="J468">
        <f>(10^(AntA.-AntB./(AntC.+(H468-273.15)))*101325/760)</f>
        <v>8755.7160912405416</v>
      </c>
      <c r="K468">
        <f>(J468/(R.*H468)-G468)</f>
        <v>0.11095779110780457</v>
      </c>
      <c r="L468">
        <f>a.*kc./G.*K468</f>
        <v>9.5172348202927595E-2</v>
      </c>
      <c r="M468">
        <f>a.*h./(L.*Cpw.)*(H468-I468)+a.*lambda.*kc./(L.*Cpw.)*K468</f>
        <v>0.54639553824139153</v>
      </c>
      <c r="N468">
        <f>a.*kc./G.*(H468-I468)</f>
        <v>0.60433817286718028</v>
      </c>
    </row>
    <row r="469" spans="5:14" x14ac:dyDescent="0.25">
      <c r="E469">
        <v>467</v>
      </c>
      <c r="F469">
        <f>dz.*E469</f>
        <v>10.618236597978685</v>
      </c>
      <c r="G469">
        <f>G468+L468*dz.</f>
        <v>3.2191419222787063</v>
      </c>
      <c r="H469">
        <f>H468+M468*dz.</f>
        <v>316.46360043798114</v>
      </c>
      <c r="I469">
        <f>I468+N468*dz.</f>
        <v>315.76034318617963</v>
      </c>
      <c r="J469">
        <f>(10^(AntA.-AntB./(AntC.+(H469-273.15)))*101325/760)</f>
        <v>8761.3781126989961</v>
      </c>
      <c r="K469">
        <f>(J469/(R.*H469)-G469)</f>
        <v>0.11081517787463868</v>
      </c>
      <c r="L469">
        <f>a.*kc./G.*K469</f>
        <v>9.5050023883475152E-2</v>
      </c>
      <c r="M469">
        <f>a.*h./(L.*Cpw.)*(H469-I469)+a.*lambda.*kc./(L.*Cpw.)*K469</f>
        <v>0.54564405288707074</v>
      </c>
      <c r="N469">
        <f>a.*kc./G.*(H469-I469)</f>
        <v>0.60320815128393579</v>
      </c>
    </row>
    <row r="470" spans="5:14" x14ac:dyDescent="0.25">
      <c r="E470">
        <v>468</v>
      </c>
      <c r="F470">
        <f>dz.*E470</f>
        <v>10.640973721314827</v>
      </c>
      <c r="G470">
        <f>G469+L469*dz.</f>
        <v>3.2213030863948484</v>
      </c>
      <c r="H470">
        <f>H469+M469*dz.</f>
        <v>316.47600681410927</v>
      </c>
      <c r="I470">
        <f>I469+N469*dz.</f>
        <v>315.77405840431271</v>
      </c>
      <c r="J470">
        <f>(10^(AntA.-AntB./(AntC.+(H470-273.15)))*101325/760)</f>
        <v>8767.0354929951918</v>
      </c>
      <c r="K470">
        <f>(J470/(R.*H470)-G470)</f>
        <v>0.1106736032335669</v>
      </c>
      <c r="L470">
        <f>a.*kc./G.*K470</f>
        <v>9.4928590400505969E-2</v>
      </c>
      <c r="M470">
        <f>a.*h./(L.*Cpw.)*(H470-I470)+a.*lambda.*kc./(L.*Cpw.)*K470</f>
        <v>0.54489792229117373</v>
      </c>
      <c r="N470">
        <f>a.*kc./G.*(H470-I470)</f>
        <v>0.60208551207316041</v>
      </c>
    </row>
    <row r="471" spans="5:14" x14ac:dyDescent="0.25">
      <c r="E471">
        <v>469</v>
      </c>
      <c r="F471">
        <f>dz.*E471</f>
        <v>10.66371084465097</v>
      </c>
      <c r="G471">
        <f>G470+L470*dz.</f>
        <v>3.223461489462911</v>
      </c>
      <c r="H471">
        <f>H470+M470*dz.</f>
        <v>316.488396225374</v>
      </c>
      <c r="I471">
        <f>I470+N470*dz.</f>
        <v>315.78774809685962</v>
      </c>
      <c r="J471">
        <f>(10^(AntA.-AntB./(AntC.+(H471-273.15)))*101325/760)</f>
        <v>8772.688276145298</v>
      </c>
      <c r="K471">
        <f>(J471/(R.*H471)-G471)</f>
        <v>0.11053306290701759</v>
      </c>
      <c r="L471">
        <f>a.*kc./G.*K471</f>
        <v>9.4808044084998391E-2</v>
      </c>
      <c r="M471">
        <f>a.*h./(L.*Cpw.)*(H471-I471)+a.*lambda.*kc./(L.*Cpw.)*K471</f>
        <v>0.5441571231265917</v>
      </c>
      <c r="N471">
        <f>a.*kc./G.*(H471-I471)</f>
        <v>0.6009702156914204</v>
      </c>
    </row>
    <row r="472" spans="5:14" x14ac:dyDescent="0.25">
      <c r="E472">
        <v>470</v>
      </c>
      <c r="F472">
        <f>dz.*E472</f>
        <v>10.686447967987112</v>
      </c>
      <c r="G472">
        <f>G471+L471*dz.</f>
        <v>3.22561715165453</v>
      </c>
      <c r="H472">
        <f>H471+M471*dz.</f>
        <v>316.50076879299678</v>
      </c>
      <c r="I472">
        <f>I471+N471*dz.</f>
        <v>315.80141243077514</v>
      </c>
      <c r="J472">
        <f>(10^(AntA.-AntB./(AntC.+(H472-273.15)))*101325/760)</f>
        <v>8778.3365060530323</v>
      </c>
      <c r="K472">
        <f>(J472/(R.*H472)-G472)</f>
        <v>0.11039355265753148</v>
      </c>
      <c r="L472">
        <f>a.*kc./G.*K472</f>
        <v>9.4688381302336574E-2</v>
      </c>
      <c r="M472">
        <f>a.*h./(L.*Cpw.)*(H472-I472)+a.*lambda.*kc./(L.*Cpw.)*K472</f>
        <v>0.54342163227737361</v>
      </c>
      <c r="N472">
        <f>a.*kc./G.*(H472-I472)</f>
        <v>0.59986222291161495</v>
      </c>
    </row>
    <row r="473" spans="5:14" x14ac:dyDescent="0.25">
      <c r="E473">
        <v>471</v>
      </c>
      <c r="F473">
        <f>dz.*E473</f>
        <v>10.709185091323254</v>
      </c>
      <c r="G473">
        <f>G472+L472*dz.</f>
        <v>3.2277700930587008</v>
      </c>
      <c r="H473">
        <f>H472+M472*dz.</f>
        <v>316.5131246376734</v>
      </c>
      <c r="I473">
        <f>I472+N472*dz.</f>
        <v>315.81505157212217</v>
      </c>
      <c r="J473">
        <f>(10^(AntA.-AntB./(AntC.+(H473-273.15)))*101325/760)</f>
        <v>8783.9802265108337</v>
      </c>
      <c r="K473">
        <f>(J473/(R.*H473)-G473)</f>
        <v>0.1102550682874166</v>
      </c>
      <c r="L473">
        <f>a.*kc./G.*K473</f>
        <v>9.4569598452014403E-2</v>
      </c>
      <c r="M473">
        <f>a.*h./(L.*Cpw.)*(H473-I473)+a.*lambda.*kc./(L.*Cpw.)*K473</f>
        <v>0.54269142683699079</v>
      </c>
      <c r="N473">
        <f>a.*kc./G.*(H473-I473)</f>
        <v>0.59876149482083063</v>
      </c>
    </row>
    <row r="474" spans="5:14" x14ac:dyDescent="0.25">
      <c r="E474">
        <v>472</v>
      </c>
      <c r="F474">
        <f>dz.*E474</f>
        <v>10.731922214659399</v>
      </c>
      <c r="G474">
        <f>G473+L473*dz.</f>
        <v>3.2299203336825539</v>
      </c>
      <c r="H474">
        <f>H473+M473*dz.</f>
        <v>316.52546387957887</v>
      </c>
      <c r="I474">
        <f>I473+N473*dz.</f>
        <v>315.82866568607886</v>
      </c>
      <c r="J474">
        <f>(10^(AntA.-AntB./(AntC.+(H474-273.15)))*101325/760)</f>
        <v>8789.6194812012764</v>
      </c>
      <c r="K474">
        <f>(J474/(R.*H474)-G474)</f>
        <v>0.11011760563849959</v>
      </c>
      <c r="L474">
        <f>a.*kc./G.*K474</f>
        <v>9.4451691967422299E-2</v>
      </c>
      <c r="M474">
        <f>a.*h./(L.*Cpw.)*(H474-I474)+a.*lambda.*kc./(L.*Cpw.)*K474</f>
        <v>0.5419664841070152</v>
      </c>
      <c r="N474">
        <f>a.*kc./G.*(H474-I474)</f>
        <v>0.5976679928182933</v>
      </c>
    </row>
    <row r="475" spans="5:14" x14ac:dyDescent="0.25">
      <c r="E475">
        <v>473</v>
      </c>
      <c r="F475">
        <f>dz.*E475</f>
        <v>10.754659337995541</v>
      </c>
      <c r="G475">
        <f>G474+L474*dz.</f>
        <v>3.2320678934521245</v>
      </c>
      <c r="H475">
        <f>H474+M474*dz.</f>
        <v>316.53778663837204</v>
      </c>
      <c r="I475">
        <f>I474+N474*dz.</f>
        <v>315.84225493694566</v>
      </c>
      <c r="J475">
        <f>(10^(AntA.-AntB./(AntC.+(H475-273.15)))*101325/760)</f>
        <v>8795.2543136982185</v>
      </c>
      <c r="K475">
        <f>(J475/(R.*H475)-G475)</f>
        <v>0.10998116059178198</v>
      </c>
      <c r="L475">
        <f>a.*kc./G.*K475</f>
        <v>9.4334658315552322E-2</v>
      </c>
      <c r="M475">
        <f>a.*h./(L.*Cpw.)*(H475-I475)+a.*lambda.*kc./(L.*Cpw.)*K475</f>
        <v>0.5412467815954094</v>
      </c>
      <c r="N475">
        <f>a.*kc./G.*(H475-I475)</f>
        <v>0.59658167861336986</v>
      </c>
    </row>
    <row r="476" spans="5:14" x14ac:dyDescent="0.25">
      <c r="E476">
        <v>474</v>
      </c>
      <c r="F476">
        <f>dz.*E476</f>
        <v>10.777396461331683</v>
      </c>
      <c r="G476">
        <f>G475+L475*dz.</f>
        <v>3.2342127922131181</v>
      </c>
      <c r="H476">
        <f>H475+M475*dz.</f>
        <v>316.55009303320048</v>
      </c>
      <c r="I476">
        <f>I475+N475*dz.</f>
        <v>315.85581948815241</v>
      </c>
      <c r="J476">
        <f>(10^(AntA.-AntB./(AntC.+(H476-273.15)))*101325/760)</f>
        <v>8800.884767468111</v>
      </c>
      <c r="K476">
        <f>(J476/(R.*H476)-G476)</f>
        <v>0.10984572906716084</v>
      </c>
      <c r="L476">
        <f>a.*kc./G.*K476</f>
        <v>9.4218493996758579E-2</v>
      </c>
      <c r="M476">
        <f>a.*h./(L.*Cpw.)*(H476-I476)+a.*lambda.*kc./(L.*Cpw.)*K476</f>
        <v>0.54053229701509109</v>
      </c>
      <c r="N476">
        <f>a.*kc./G.*(H476-I476)</f>
        <v>0.59550251422361689</v>
      </c>
    </row>
    <row r="477" spans="5:14" x14ac:dyDescent="0.25">
      <c r="E477">
        <v>475</v>
      </c>
      <c r="F477">
        <f>dz.*E477</f>
        <v>10.800133584667826</v>
      </c>
      <c r="G477">
        <f>G476+L476*dz.</f>
        <v>3.2363550497316682</v>
      </c>
      <c r="H477">
        <f>H476+M476*dz.</f>
        <v>316.56238318270488</v>
      </c>
      <c r="I477">
        <f>I476+N476*dz.</f>
        <v>315.8693595022653</v>
      </c>
      <c r="J477">
        <f>(10^(AntA.-AntB./(AntC.+(H477-273.15)))*101325/760)</f>
        <v>8806.5108858712338</v>
      </c>
      <c r="K477">
        <f>(J477/(R.*H477)-G477)</f>
        <v>0.10971130702312992</v>
      </c>
      <c r="L477">
        <f>a.*kc./G.*K477</f>
        <v>9.4103195544500903E-2</v>
      </c>
      <c r="M477">
        <f>a.*h./(L.*Cpw.)*(H477-I477)+a.*lambda.*kc./(L.*Cpw.)*K477</f>
        <v>0.5398230082823825</v>
      </c>
      <c r="N477">
        <f>a.*kc./G.*(H477-I477)</f>
        <v>0.59443046197258786</v>
      </c>
    </row>
    <row r="478" spans="5:14" x14ac:dyDescent="0.25">
      <c r="E478">
        <v>476</v>
      </c>
      <c r="F478">
        <f>dz.*E478</f>
        <v>10.822870708003968</v>
      </c>
      <c r="G478">
        <f>G477+L477*dz.</f>
        <v>3.2384946856950885</v>
      </c>
      <c r="H478">
        <f>H477+M477*dz.</f>
        <v>316.57465720502387</v>
      </c>
      <c r="I478">
        <f>I477+N477*dz.</f>
        <v>315.88287514099392</v>
      </c>
      <c r="J478">
        <f>(10^(AntA.-AntB./(AntC.+(H478-273.15)))*101325/760)</f>
        <v>8812.1327121629693</v>
      </c>
      <c r="K478">
        <f>(J478/(R.*H478)-G478)</f>
        <v>0.10957789045650346</v>
      </c>
      <c r="L478">
        <f>a.*kc./G.*K478</f>
        <v>9.3988759525107948E-2</v>
      </c>
      <c r="M478">
        <f>a.*h./(L.*Cpw.)*(H478-I478)+a.*lambda.*kc./(L.*Cpw.)*K478</f>
        <v>0.53911889351560194</v>
      </c>
      <c r="N478">
        <f>a.*kc./G.*(H478-I478)</f>
        <v>0.59336548448797921</v>
      </c>
    </row>
    <row r="479" spans="5:14" x14ac:dyDescent="0.25">
      <c r="E479">
        <v>477</v>
      </c>
      <c r="F479">
        <f>dz.*E479</f>
        <v>10.845607831340113</v>
      </c>
      <c r="G479">
        <f>G478+L478*dz.</f>
        <v>3.240631719712622</v>
      </c>
      <c r="H479">
        <f>H478+M478*dz.</f>
        <v>316.58691521779861</v>
      </c>
      <c r="I479">
        <f>I478+N478*dz.</f>
        <v>315.89636656519815</v>
      </c>
      <c r="J479">
        <f>(10^(AntA.-AntB./(AntC.+(H479-273.15)))*101325/760)</f>
        <v>8817.7502894950849</v>
      </c>
      <c r="K479">
        <f>(J479/(R.*H479)-G479)</f>
        <v>0.10944547540213989</v>
      </c>
      <c r="L479">
        <f>a.*kc./G.*K479</f>
        <v>9.3875182537540167E-2</v>
      </c>
      <c r="M479">
        <f>a.*h./(L.*Cpw.)*(H479-I479)+a.*lambda.*kc./(L.*Cpw.)*K479</f>
        <v>0.53841993103362751</v>
      </c>
      <c r="N479">
        <f>a.*kc./G.*(H479-I479)</f>
        <v>0.59230754469958347</v>
      </c>
    </row>
    <row r="480" spans="5:14" x14ac:dyDescent="0.25">
      <c r="E480">
        <v>478</v>
      </c>
      <c r="F480">
        <f>dz.*E480</f>
        <v>10.868344954676255</v>
      </c>
      <c r="G480">
        <f>G479+L479*dz.</f>
        <v>3.2427661713161808</v>
      </c>
      <c r="H480">
        <f>H479+M479*dz.</f>
        <v>316.59915733817718</v>
      </c>
      <c r="I480">
        <f>I479+N479*dz.</f>
        <v>315.90983393489489</v>
      </c>
      <c r="J480">
        <f>(10^(AntA.-AntB./(AntC.+(H480-273.15)))*101325/760)</f>
        <v>8823.3636609168516</v>
      </c>
      <c r="K480">
        <f>(J480/(R.*H480)-G480)</f>
        <v>0.10931405793261861</v>
      </c>
      <c r="L480">
        <f>a.*kc./G.*K480</f>
        <v>9.3762461213112616E-2</v>
      </c>
      <c r="M480">
        <f>a.*h./(L.*Cpw.)*(H480-I480)+a.*lambda.*kc./(L.*Cpw.)*K480</f>
        <v>0.53772609935427906</v>
      </c>
      <c r="N480">
        <f>a.*kc./G.*(H480-I480)</f>
        <v>0.59125660583733852</v>
      </c>
    </row>
    <row r="481" spans="5:14" x14ac:dyDescent="0.25">
      <c r="E481">
        <v>479</v>
      </c>
      <c r="F481">
        <f>dz.*E481</f>
        <v>10.891082078012397</v>
      </c>
      <c r="G481">
        <f>G480+L480*dz.</f>
        <v>3.2448980599610837</v>
      </c>
      <c r="H481">
        <f>H480+M480*dz.</f>
        <v>316.61138368281928</v>
      </c>
      <c r="I481">
        <f>I480+N480*dz.</f>
        <v>315.9232774092651</v>
      </c>
      <c r="J481">
        <f>(10^(AntA.-AntB./(AntC.+(H481-273.15)))*101325/760)</f>
        <v>8828.9728693763918</v>
      </c>
      <c r="K481">
        <f>(J481/(R.*H481)-G481)</f>
        <v>0.1091836341580037</v>
      </c>
      <c r="L481">
        <f>a.*kc./G.*K481</f>
        <v>9.3650592215292261E-2</v>
      </c>
      <c r="M481">
        <f>a.*h./(L.*Cpw.)*(H481-I481)+a.*lambda.*kc./(L.*Cpw.)*K481</f>
        <v>0.53703737719304823</v>
      </c>
      <c r="N481">
        <f>a.*kc./G.*(H481-I481)</f>
        <v>0.59021263142927971</v>
      </c>
    </row>
    <row r="482" spans="5:14" x14ac:dyDescent="0.25">
      <c r="E482">
        <v>480</v>
      </c>
      <c r="F482">
        <f>dz.*E482</f>
        <v>10.91381920134854</v>
      </c>
      <c r="G482">
        <f>G481+L481*dz.</f>
        <v>3.2470274050267856</v>
      </c>
      <c r="H482">
        <f>H481+M481*dz.</f>
        <v>316.62359436790064</v>
      </c>
      <c r="I482">
        <f>I481+N481*dz.</f>
        <v>315.93669714666044</v>
      </c>
      <c r="J482">
        <f>(10^(AntA.-AntB./(AntC.+(H482-273.15)))*101325/760)</f>
        <v>8834.5779577218564</v>
      </c>
      <c r="K482">
        <f>(J482/(R.*H482)-G482)</f>
        <v>0.10905420022554813</v>
      </c>
      <c r="L482">
        <f>a.*kc./G.*K482</f>
        <v>9.3539572239444257E-2</v>
      </c>
      <c r="M482">
        <f>a.*h./(L.*Cpw.)*(H482-I482)+a.*lambda.*kc./(L.*Cpw.)*K482</f>
        <v>0.53635374346160214</v>
      </c>
      <c r="N482">
        <f>a.*kc./G.*(H482-I482)</f>
        <v>0.58917558529963898</v>
      </c>
    </row>
    <row r="483" spans="5:14" x14ac:dyDescent="0.25">
      <c r="E483">
        <v>481</v>
      </c>
      <c r="F483">
        <f>dz.*E483</f>
        <v>10.936556324684682</v>
      </c>
      <c r="G483">
        <f>G482+L482*dz.</f>
        <v>3.249154225817604</v>
      </c>
      <c r="H483">
        <f>H482+M482*dz.</f>
        <v>316.6357895091175</v>
      </c>
      <c r="I483">
        <f>I482+N482*dz.</f>
        <v>315.95009330461005</v>
      </c>
      <c r="J483">
        <f>(10^(AntA.-AntB./(AntC.+(H483-273.15)))*101325/760)</f>
        <v>8840.178968702694</v>
      </c>
      <c r="K483">
        <f>(J483/(R.*H483)-G483)</f>
        <v>0.10892575231944157</v>
      </c>
      <c r="L483">
        <f>a.*kc./G.*K483</f>
        <v>9.3429398012615683E-2</v>
      </c>
      <c r="M483">
        <f>a.*h./(L.*Cpw.)*(H483-I483)+a.*lambda.*kc./(L.*Cpw.)*K483</f>
        <v>0.53567517726646097</v>
      </c>
      <c r="N483">
        <f>a.*kc./G.*(H483-I483)</f>
        <v>0.58814543156689392</v>
      </c>
    </row>
    <row r="484" spans="5:14" x14ac:dyDescent="0.25">
      <c r="E484">
        <v>482</v>
      </c>
      <c r="F484">
        <f>dz.*E484</f>
        <v>10.959293448020826</v>
      </c>
      <c r="G484">
        <f>G483+L483*dz.</f>
        <v>3.2512785415634387</v>
      </c>
      <c r="H484">
        <f>H483+M483*dz.</f>
        <v>316.64796922169114</v>
      </c>
      <c r="I484">
        <f>I483+N483*dz.</f>
        <v>315.96346603982715</v>
      </c>
      <c r="J484">
        <f>(10^(AntA.-AntB./(AntC.+(H484-273.15)))*101325/760)</f>
        <v>8845.7759449708883</v>
      </c>
      <c r="K484">
        <f>(J484/(R.*H484)-G484)</f>
        <v>0.10879828666054658</v>
      </c>
      <c r="L484">
        <f>a.*kc./G.*K484</f>
        <v>9.3320066293309162E-2</v>
      </c>
      <c r="M484">
        <f>a.*h./(L.*Cpw.)*(H484-I484)+a.*lambda.*kc./(L.*Cpw.)*K484</f>
        <v>0.53500165790764698</v>
      </c>
      <c r="N484">
        <f>a.*kc./G.*(H484-I484)</f>
        <v>0.58712213464196406</v>
      </c>
    </row>
    <row r="485" spans="5:14" x14ac:dyDescent="0.25">
      <c r="E485">
        <v>483</v>
      </c>
      <c r="F485">
        <f>dz.*E485</f>
        <v>10.982030571356969</v>
      </c>
      <c r="G485">
        <f>G484+L484*dz.</f>
        <v>3.2534003714204864</v>
      </c>
      <c r="H485">
        <f>H484+M484*dz.</f>
        <v>316.66013362037205</v>
      </c>
      <c r="I485">
        <f>I484+N484*dz.</f>
        <v>315.97681550821591</v>
      </c>
      <c r="J485">
        <f>(10^(AntA.-AntB./(AntC.+(H485-273.15)))*101325/760)</f>
        <v>8851.3689290820803</v>
      </c>
      <c r="K485">
        <f>(J485/(R.*H485)-G485)</f>
        <v>0.10867179950610062</v>
      </c>
      <c r="L485">
        <f>a.*kc./G.*K485</f>
        <v>9.3211573871227388E-2</v>
      </c>
      <c r="M485">
        <f>a.*h./(L.*Cpw.)*(H485-I485)+a.*lambda.*kc./(L.*Cpw.)*K485</f>
        <v>0.53433316487712512</v>
      </c>
      <c r="N485">
        <f>a.*kc./G.*(H485-I485)</f>
        <v>0.5861056592259194</v>
      </c>
    </row>
    <row r="486" spans="5:14" x14ac:dyDescent="0.25">
      <c r="E486">
        <v>484</v>
      </c>
      <c r="F486">
        <f>dz.*E486</f>
        <v>11.004767694693111</v>
      </c>
      <c r="G486">
        <f>G485+L485*dz.</f>
        <v>3.2555197344719526</v>
      </c>
      <c r="H486">
        <f>H485+M485*dz.</f>
        <v>316.67228281944443</v>
      </c>
      <c r="I486">
        <f>I485+N485*dz.</f>
        <v>315.99014186487773</v>
      </c>
      <c r="J486">
        <f>(10^(AntA.-AntB./(AntC.+(H486-273.15)))*101325/760)</f>
        <v>8856.9579634968177</v>
      </c>
      <c r="K486">
        <f>(J486/(R.*H486)-G486)</f>
        <v>0.10854628714946735</v>
      </c>
      <c r="L486">
        <f>a.*kc./G.*K486</f>
        <v>9.3103917567059755E-2</v>
      </c>
      <c r="M486">
        <f>a.*h./(L.*Cpw.)*(H486-I486)+a.*lambda.*kc./(L.*Cpw.)*K486</f>
        <v>0.53366967785754882</v>
      </c>
      <c r="N486">
        <f>a.*kc./G.*(H486-I486)</f>
        <v>0.58509597030841998</v>
      </c>
    </row>
    <row r="487" spans="5:14" x14ac:dyDescent="0.25">
      <c r="E487">
        <v>485</v>
      </c>
      <c r="F487">
        <f>dz.*E487</f>
        <v>11.027504818029254</v>
      </c>
      <c r="G487">
        <f>G486+L486*dz.</f>
        <v>3.2576366497287528</v>
      </c>
      <c r="H487">
        <f>H486+M486*dz.</f>
        <v>316.68441693273064</v>
      </c>
      <c r="I487">
        <f>I486+N486*dz.</f>
        <v>316.00344526411811</v>
      </c>
      <c r="J487">
        <f>(10^(AntA.-AntB./(AntC.+(H487-273.15)))*101325/760)</f>
        <v>8862.5430905818848</v>
      </c>
      <c r="K487">
        <f>(J487/(R.*H487)-G487)</f>
        <v>0.10842174591992793</v>
      </c>
      <c r="L487">
        <f>a.*kc./G.*K487</f>
        <v>9.299709423230329E-2</v>
      </c>
      <c r="M487">
        <f>a.*h./(L.*Cpw.)*(H487-I487)+a.*lambda.*kc./(L.*Cpw.)*K487</f>
        <v>0.53301117672110587</v>
      </c>
      <c r="N487">
        <f>a.*kc./G.*(H487-I487)</f>
        <v>0.58409303316566819</v>
      </c>
    </row>
    <row r="488" spans="5:14" x14ac:dyDescent="0.25">
      <c r="E488">
        <v>486</v>
      </c>
      <c r="F488">
        <f>dz.*E488</f>
        <v>11.050241941365398</v>
      </c>
      <c r="G488">
        <f>G487+L487*dz.</f>
        <v>3.2597511361302156</v>
      </c>
      <c r="H488">
        <f>H487+M487*dz.</f>
        <v>316.69653607359527</v>
      </c>
      <c r="I488">
        <f>I487+N487*dz.</f>
        <v>316.016725859453</v>
      </c>
      <c r="J488">
        <f>(10^(AntA.-AntB./(AntC.+(H488-273.15)))*101325/760)</f>
        <v>8868.124352611314</v>
      </c>
      <c r="K488">
        <f>(J488/(R.*H488)-G488)</f>
        <v>0.10829817218235194</v>
      </c>
      <c r="L488">
        <f>a.*kc./G.*K488</f>
        <v>9.2891100748980493E-2</v>
      </c>
      <c r="M488">
        <f>a.*h./(L.*Cpw.)*(H488-I488)+a.*lambda.*kc./(L.*Cpw.)*K488</f>
        <v>0.5323576415278759</v>
      </c>
      <c r="N488">
        <f>a.*kc./G.*(H488-I488)</f>
        <v>0.58309681335845887</v>
      </c>
    </row>
    <row r="489" spans="5:14" x14ac:dyDescent="0.25">
      <c r="E489">
        <v>487</v>
      </c>
      <c r="F489">
        <f>dz.*E489</f>
        <v>11.07297906470154</v>
      </c>
      <c r="G489">
        <f>G488+L488*dz.</f>
        <v>3.2618632125447751</v>
      </c>
      <c r="H489">
        <f>H488+M488*dz.</f>
        <v>316.70864035494964</v>
      </c>
      <c r="I489">
        <f>I488+N488*dz.</f>
        <v>316.02998380361527</v>
      </c>
      <c r="J489">
        <f>(10^(AntA.-AntB./(AntC.+(H489-273.15)))*101325/760)</f>
        <v>8873.701791767764</v>
      </c>
      <c r="K489">
        <f>(J489/(R.*H489)-G489)</f>
        <v>0.10817556233701442</v>
      </c>
      <c r="L489">
        <f>a.*kc./G.*K489</f>
        <v>9.2785934029482334E-2</v>
      </c>
      <c r="M489">
        <f>a.*h./(L.*Cpw.)*(H489-I489)+a.*lambda.*kc./(L.*Cpw.)*K489</f>
        <v>0.53170905252483003</v>
      </c>
      <c r="N489">
        <f>a.*kc./G.*(H489-I489)</f>
        <v>0.58210727673047202</v>
      </c>
    </row>
    <row r="490" spans="5:14" x14ac:dyDescent="0.25">
      <c r="E490">
        <v>488</v>
      </c>
      <c r="F490">
        <f>dz.*E490</f>
        <v>11.095716188037683</v>
      </c>
      <c r="G490">
        <f>G489+L489*dz.</f>
        <v>3.2639728977706626</v>
      </c>
      <c r="H490">
        <f>H489+M489*dz.</f>
        <v>316.72072988925584</v>
      </c>
      <c r="I490">
        <f>I489+N489*dz.</f>
        <v>316.04321924856117</v>
      </c>
      <c r="J490">
        <f>(10^(AntA.-AntB./(AntC.+(H490-273.15)))*101325/760)</f>
        <v>8879.2754501435811</v>
      </c>
      <c r="K490">
        <f>(J490/(R.*H490)-G490)</f>
        <v>0.10805391281929921</v>
      </c>
      <c r="L490">
        <f>a.*kc./G.*K490</f>
        <v>9.2681591016313833E-2</v>
      </c>
      <c r="M490">
        <f>a.*h./(L.*Cpw.)*(H490-I490)+a.*lambda.*kc./(L.*Cpw.)*K490</f>
        <v>0.53106539014430354</v>
      </c>
      <c r="N490">
        <f>a.*kc./G.*(H490-I490)</f>
        <v>0.58112438940617706</v>
      </c>
    </row>
    <row r="491" spans="5:14" x14ac:dyDescent="0.25">
      <c r="E491">
        <v>489</v>
      </c>
      <c r="F491">
        <f>dz.*E491</f>
        <v>11.118453311373825</v>
      </c>
      <c r="G491">
        <f>G490+L490*dz.</f>
        <v>3.2660802105365905</v>
      </c>
      <c r="H491">
        <f>H490+M490*dz.</f>
        <v>316.7328047885311</v>
      </c>
      <c r="I491">
        <f>I490+N490*dz.</f>
        <v>316.05643234547676</v>
      </c>
      <c r="J491">
        <f>(10^(AntA.-AntB./(AntC.+(H491-273.15)))*101325/760)</f>
        <v>8884.8453697420391</v>
      </c>
      <c r="K491">
        <f>(J491/(R.*H491)-G491)</f>
        <v>0.10793322009946937</v>
      </c>
      <c r="L491">
        <f>a.*kc./G.*K491</f>
        <v>9.2578068681897108E-2</v>
      </c>
      <c r="M491">
        <f>a.*h./(L.*Cpw.)*(H491-I491)+a.*lambda.*kc./(L.*Cpw.)*K491</f>
        <v>0.53042663500280174</v>
      </c>
      <c r="N491">
        <f>a.*kc./G.*(H491-I491)</f>
        <v>0.58014811778912601</v>
      </c>
    </row>
    <row r="492" spans="5:14" x14ac:dyDescent="0.25">
      <c r="E492">
        <v>490</v>
      </c>
      <c r="F492">
        <f>dz.*E492</f>
        <v>11.141190434709968</v>
      </c>
      <c r="G492">
        <f>G491+L491*dz.</f>
        <v>3.2681851695024329</v>
      </c>
      <c r="H492">
        <f>H491+M491*dz.</f>
        <v>316.74486516435195</v>
      </c>
      <c r="I492">
        <f>I491+N491*dz.</f>
        <v>316.06962324478417</v>
      </c>
      <c r="J492">
        <f>(10^(AntA.-AntB./(AntC.+(H492-273.15)))*101325/760)</f>
        <v>8890.4115924785965</v>
      </c>
      <c r="K492">
        <f>(J492/(R.*H492)-G492)</f>
        <v>0.10781348068245533</v>
      </c>
      <c r="L492">
        <f>a.*kc./G.*K492</f>
        <v>9.2475364028389684E-2</v>
      </c>
      <c r="M492">
        <f>a.*h./(L.*Cpw.)*(H492-I492)+a.*lambda.*kc./(L.*Cpw.)*K492</f>
        <v>0.5297927678998593</v>
      </c>
      <c r="N492">
        <f>a.*kc./G.*(H492-I492)</f>
        <v>0.5791784285601006</v>
      </c>
    </row>
    <row r="493" spans="5:14" x14ac:dyDescent="0.25">
      <c r="E493">
        <v>491</v>
      </c>
      <c r="F493">
        <f>dz.*E493</f>
        <v>11.163927558046112</v>
      </c>
      <c r="G493">
        <f>G492+L492*dz.</f>
        <v>3.270287793259901</v>
      </c>
      <c r="H493">
        <f>H492+M492*dz.</f>
        <v>316.7569111278583</v>
      </c>
      <c r="I493">
        <f>I492+N492*dz.</f>
        <v>316.08279209614795</v>
      </c>
      <c r="J493">
        <f>(10^(AntA.-AntB./(AntC.+(H493-273.15)))*101325/760)</f>
        <v>8895.974160181946</v>
      </c>
      <c r="K493">
        <f>(J493/(R.*H493)-G493)</f>
        <v>0.10769469110756535</v>
      </c>
      <c r="L493">
        <f>a.*kc./G.*K493</f>
        <v>9.2373474087436167E-2</v>
      </c>
      <c r="M493">
        <f>a.*h./(L.*Cpw.)*(H493-I493)+a.*lambda.*kc./(L.*Cpw.)*K493</f>
        <v>0.52916376981656232</v>
      </c>
      <c r="N493">
        <f>a.*kc./G.*(H493-I493)</f>
        <v>0.57821528867516225</v>
      </c>
    </row>
    <row r="494" spans="5:14" x14ac:dyDescent="0.25">
      <c r="E494">
        <v>492</v>
      </c>
      <c r="F494">
        <f>dz.*E494</f>
        <v>11.186664681382254</v>
      </c>
      <c r="G494">
        <f>G493+L493*dz.</f>
        <v>3.2723881003332149</v>
      </c>
      <c r="H494">
        <f>H493+M493*dz.</f>
        <v>316.76894278975766</v>
      </c>
      <c r="I494">
        <f>I493+N493*dz.</f>
        <v>316.0959390484814</v>
      </c>
      <c r="J494">
        <f>(10^(AntA.-AntB./(AntC.+(H494-273.15)))*101325/760)</f>
        <v>8901.5331145953223</v>
      </c>
      <c r="K494">
        <f>(J494/(R.*H494)-G494)</f>
        <v>0.10757684794829725</v>
      </c>
      <c r="L494">
        <f>a.*kc./G.*K494</f>
        <v>9.2272395920006717E-2</v>
      </c>
      <c r="M494">
        <f>a.*h./(L.*Cpw.)*(H494-I494)+a.*lambda.*kc./(L.*Cpw.)*K494</f>
        <v>0.5285396219145202</v>
      </c>
      <c r="N494">
        <f>a.*kc./G.*(H494-I494)</f>
        <v>0.57725866536389692</v>
      </c>
    </row>
    <row r="495" spans="5:14" x14ac:dyDescent="0.25">
      <c r="E495">
        <v>493</v>
      </c>
      <c r="F495">
        <f>dz.*E495</f>
        <v>11.209401804718397</v>
      </c>
      <c r="G495">
        <f>G494+L494*dz.</f>
        <v>3.2744861091797697</v>
      </c>
      <c r="H495">
        <f>H494+M494*dz.</f>
        <v>316.78096026032915</v>
      </c>
      <c r="I495">
        <f>I494+N494*dz.</f>
        <v>316.10906424995261</v>
      </c>
      <c r="J495">
        <f>(10^(AntA.-AntB./(AntC.+(H495-273.15)))*101325/760)</f>
        <v>8907.0884973775755</v>
      </c>
      <c r="K495">
        <f>(J495/(R.*H495)-G495)</f>
        <v>0.1074599478120688</v>
      </c>
      <c r="L495">
        <f>a.*kc./G.*K495</f>
        <v>9.2172126616165806E-2</v>
      </c>
      <c r="M495">
        <f>a.*h./(L.*Cpw.)*(H495-I495)+a.*lambda.*kc./(L.*Cpw.)*K495</f>
        <v>0.5279203055344901</v>
      </c>
      <c r="N495">
        <f>a.*kc./G.*(H495-I495)</f>
        <v>0.57630852612761074</v>
      </c>
    </row>
    <row r="496" spans="5:14" x14ac:dyDescent="0.25">
      <c r="E496">
        <v>494</v>
      </c>
      <c r="F496">
        <f>dz.*E496</f>
        <v>11.232138928054539</v>
      </c>
      <c r="G496">
        <f>G495+L495*dz.</f>
        <v>3.2765818381907961</v>
      </c>
      <c r="H496">
        <f>H495+M495*dz.</f>
        <v>316.79296364942775</v>
      </c>
      <c r="I496">
        <f>I495+N495*dz.</f>
        <v>316.12216784799085</v>
      </c>
      <c r="J496">
        <f>(10^(AntA.-AntB./(AntC.+(H496-273.15)))*101325/760)</f>
        <v>8912.6403501044661</v>
      </c>
      <c r="K496">
        <f>(J496/(R.*H496)-G496)</f>
        <v>0.10734398734003436</v>
      </c>
      <c r="L496">
        <f>a.*kc./G.*K496</f>
        <v>9.2072663294914994E-2</v>
      </c>
      <c r="M496">
        <f>a.*h./(L.*Cpw.)*(H496-I496)+a.*lambda.*kc./(L.*Cpw.)*K496</f>
        <v>0.52730580219536316</v>
      </c>
      <c r="N496">
        <f>a.*kc./G.*(H496-I496)</f>
        <v>0.57536483873752631</v>
      </c>
    </row>
    <row r="497" spans="5:14" x14ac:dyDescent="0.25">
      <c r="E497">
        <v>495</v>
      </c>
      <c r="F497">
        <f>dz.*E497</f>
        <v>11.254876051390681</v>
      </c>
      <c r="G497">
        <f>G496+L496*dz.</f>
        <v>3.2786753056920195</v>
      </c>
      <c r="H497">
        <f>H496+M496*dz.</f>
        <v>316.80495306648811</v>
      </c>
      <c r="I497">
        <f>I496+N496*dz.</f>
        <v>316.1352499892925</v>
      </c>
      <c r="J497">
        <f>(10^(AntA.-AntB./(AntC.+(H497-273.15)))*101325/760)</f>
        <v>8918.1887142696869</v>
      </c>
      <c r="K497">
        <f>(J497/(R.*H497)-G497)</f>
        <v>0.10722896320680375</v>
      </c>
      <c r="L497">
        <f>a.*kc./G.*K497</f>
        <v>9.1974003103951665E-2</v>
      </c>
      <c r="M497">
        <f>a.*h./(L.*Cpw.)*(H497-I497)+a.*lambda.*kc./(L.*Cpw.)*K497</f>
        <v>0.52669609359274094</v>
      </c>
      <c r="N497">
        <f>a.*kc./G.*(H497-I497)</f>
        <v>0.57442757123297861</v>
      </c>
    </row>
    <row r="498" spans="5:14" x14ac:dyDescent="0.25">
      <c r="E498">
        <v>496</v>
      </c>
      <c r="F498">
        <f>dz.*E498</f>
        <v>11.277613174726826</v>
      </c>
      <c r="G498">
        <f>G497+L497*dz.</f>
        <v>3.2807665299443127</v>
      </c>
      <c r="H498">
        <f>H497+M497*dz.</f>
        <v>316.81692862052881</v>
      </c>
      <c r="I498">
        <f>I497+N497*dz.</f>
        <v>316.14831081982732</v>
      </c>
      <c r="J498">
        <f>(10^(AntA.-AntB./(AntC.+(H498-273.15)))*101325/760)</f>
        <v>8923.7336312861571</v>
      </c>
      <c r="K498">
        <f>(J498/(R.*H498)-G498)</f>
        <v>0.10711487212026594</v>
      </c>
      <c r="L498">
        <f>a.*kc./G.*K498</f>
        <v>9.1876143219517981E-2</v>
      </c>
      <c r="M498">
        <f>a.*h./(L.*Cpw.)*(H498-I498)+a.*lambda.*kc./(L.*Cpw.)*K498</f>
        <v>0.52609116159795732</v>
      </c>
      <c r="N498">
        <f>a.*kc./G.*(H498-I498)</f>
        <v>0.57349669191965968</v>
      </c>
    </row>
    <row r="499" spans="5:14" x14ac:dyDescent="0.25">
      <c r="E499">
        <v>497</v>
      </c>
      <c r="F499">
        <f>dz.*E499</f>
        <v>11.300350298062968</v>
      </c>
      <c r="G499">
        <f>G498+L498*dz.</f>
        <v>3.282855529144344</v>
      </c>
      <c r="H499">
        <f>H498+M498*dz.</f>
        <v>316.82889042015614</v>
      </c>
      <c r="I499">
        <f>I498+N498*dz.</f>
        <v>316.16135048484438</v>
      </c>
      <c r="J499">
        <f>(10^(AntA.-AntB./(AntC.+(H499-273.15)))*101325/760)</f>
        <v>8929.2751424871021</v>
      </c>
      <c r="K499">
        <f>(J499/(R.*H499)-G499)</f>
        <v>0.10700171082134169</v>
      </c>
      <c r="L499">
        <f>a.*kc./G.*K499</f>
        <v>9.1779080846188563E-2</v>
      </c>
      <c r="M499">
        <f>a.*h./(L.*Cpw.)*(H499-I499)+a.*lambda.*kc./(L.*Cpw.)*K499</f>
        <v>0.52549098825678975</v>
      </c>
      <c r="N499">
        <f>a.*kc./G.*(H499-I499)</f>
        <v>0.57257216936776623</v>
      </c>
    </row>
    <row r="500" spans="5:14" x14ac:dyDescent="0.25">
      <c r="E500">
        <v>498</v>
      </c>
      <c r="F500">
        <f>dz.*E500</f>
        <v>11.32308742139911</v>
      </c>
      <c r="G500">
        <f>G499+L499*dz.</f>
        <v>3.2849423214252216</v>
      </c>
      <c r="H500">
        <f>H499+M499*dz.</f>
        <v>316.84083857356819</v>
      </c>
      <c r="I500">
        <f>I499+N499*dz.</f>
        <v>316.17436912887814</v>
      </c>
      <c r="J500">
        <f>(10^(AntA.-AntB./(AntC.+(H500-273.15)))*101325/760)</f>
        <v>8934.8132891272617</v>
      </c>
      <c r="K500">
        <f>(J500/(R.*H500)-G500)</f>
        <v>0.10688947608378063</v>
      </c>
      <c r="L500">
        <f>a.*kc./G.*K500</f>
        <v>9.1682813216696482E-2</v>
      </c>
      <c r="M500">
        <f>a.*h./(L.*Cpw.)*(H500-I500)+a.*lambda.*kc./(L.*Cpw.)*K500</f>
        <v>0.52489555578838265</v>
      </c>
      <c r="N500">
        <f>a.*kc./G.*(H500-I500)</f>
        <v>0.57165397241034155</v>
      </c>
    </row>
    <row r="501" spans="5:14" x14ac:dyDescent="0.25">
      <c r="E501">
        <v>499</v>
      </c>
      <c r="F501">
        <f>dz.*E501</f>
        <v>11.345824544735253</v>
      </c>
      <c r="G501">
        <f>G500+L500*dz.</f>
        <v>3.287026924857134</v>
      </c>
      <c r="H501">
        <f>H500+M500*dz.</f>
        <v>316.85277318855873</v>
      </c>
      <c r="I501">
        <f>I500+N500*dz.</f>
        <v>316.18736689575445</v>
      </c>
      <c r="J501">
        <f>(10^(AntA.-AntB./(AntC.+(H501-273.15)))*101325/760)</f>
        <v>8940.3481123839701</v>
      </c>
      <c r="K501">
        <f>(J501/(R.*H501)-G501)</f>
        <v>0.10677816471392187</v>
      </c>
      <c r="L501">
        <f>a.*kc./G.*K501</f>
        <v>9.1587337591727977E-2</v>
      </c>
      <c r="M501">
        <f>a.*h./(L.*Cpw.)*(H501-I501)+a.*lambda.*kc./(L.*Cpw.)*K501</f>
        <v>0.52430484658399279</v>
      </c>
      <c r="N501">
        <f>a.*kc./G.*(H501-I501)</f>
        <v>0.57074207014142253</v>
      </c>
    </row>
    <row r="502" spans="5:14" x14ac:dyDescent="0.25">
      <c r="E502">
        <v>500</v>
      </c>
      <c r="F502">
        <f>dz.*E502</f>
        <v>11.368561668071395</v>
      </c>
      <c r="G502">
        <f>G501+L501*dz.</f>
        <v>3.2891093574479862</v>
      </c>
      <c r="H502">
        <f>H501+M501*dz.</f>
        <v>316.86469437252123</v>
      </c>
      <c r="I502">
        <f>I501+N501*dz.</f>
        <v>316.2003439285964</v>
      </c>
      <c r="J502">
        <f>(10^(AntA.-AntB./(AntC.+(H502-273.15)))*101325/760)</f>
        <v>8945.8796533584227</v>
      </c>
      <c r="K502">
        <f>(J502/(R.*H502)-G502)</f>
        <v>0.10666777355052304</v>
      </c>
      <c r="L502">
        <f>a.*kc./G.*K502</f>
        <v>9.1492651259775737E-2</v>
      </c>
      <c r="M502">
        <f>a.*h./(L.*Cpw.)*(H502-I502)+a.*lambda.*kc./(L.*Cpw.)*K502</f>
        <v>0.52371884320605921</v>
      </c>
      <c r="N502">
        <f>a.*kc./G.*(H502-I502)</f>
        <v>0.56983643191448041</v>
      </c>
    </row>
    <row r="503" spans="5:14" x14ac:dyDescent="0.25">
      <c r="E503">
        <v>501</v>
      </c>
      <c r="F503">
        <f>dz.*E503</f>
        <v>11.391298791407539</v>
      </c>
      <c r="G503">
        <f>G502+L502*dz.</f>
        <v>3.2911896371440306</v>
      </c>
      <c r="H503">
        <f>H502+M502*dz.</f>
        <v>316.87660223245268</v>
      </c>
      <c r="I503">
        <f>I502+N502*dz.</f>
        <v>316.21330036983028</v>
      </c>
      <c r="J503">
        <f>(10^(AntA.-AntB./(AntC.+(H503-273.15)))*101325/760)</f>
        <v>8951.4079530767503</v>
      </c>
      <c r="K503">
        <f>(J503/(R.*H503)-G503)</f>
        <v>0.10655829946452489</v>
      </c>
      <c r="L503">
        <f>a.*kc./G.*K503</f>
        <v>9.1398751536937078E-2</v>
      </c>
      <c r="M503">
        <f>a.*h./(L.*Cpw.)*(H503-I503)+a.*lambda.*kc./(L.*Cpw.)*K503</f>
        <v>0.52313752838696492</v>
      </c>
      <c r="N503">
        <f>a.*kc./G.*(H503-I503)</f>
        <v>0.56893702734056684</v>
      </c>
    </row>
    <row r="504" spans="5:14" x14ac:dyDescent="0.25">
      <c r="E504">
        <v>502</v>
      </c>
      <c r="F504">
        <f>dz.*E504</f>
        <v>11.414035914743682</v>
      </c>
      <c r="G504">
        <f>G503+L503*dz.</f>
        <v>3.2932677818304952</v>
      </c>
      <c r="H504">
        <f>H503+M503*dz.</f>
        <v>316.88849687495735</v>
      </c>
      <c r="I504">
        <f>I503+N503*dz.</f>
        <v>316.22623636119141</v>
      </c>
      <c r="J504">
        <f>(10^(AntA.-AntB./(AntC.+(H504-273.15)))*101325/760)</f>
        <v>8956.9330524911638</v>
      </c>
      <c r="K504">
        <f>(J504/(R.*H504)-G504)</f>
        <v>0.10644973935884661</v>
      </c>
      <c r="L504">
        <f>a.*kc./G.*K504</f>
        <v>9.130563576673828E-2</v>
      </c>
      <c r="M504">
        <f>a.*h./(L.*Cpw.)*(H504-I504)+a.*lambda.*kc./(L.*Cpw.)*K504</f>
        <v>0.52256088502793963</v>
      </c>
      <c r="N504">
        <f>a.*kc./G.*(H504-I504)</f>
        <v>0.56804382628655947</v>
      </c>
    </row>
    <row r="505" spans="5:14" x14ac:dyDescent="0.25">
      <c r="E505">
        <v>503</v>
      </c>
      <c r="F505">
        <f>dz.*E505</f>
        <v>11.436773038079824</v>
      </c>
      <c r="G505">
        <f>G504+L504*dz.</f>
        <v>3.2953438093322083</v>
      </c>
      <c r="H505">
        <f>H504+M504*dz.</f>
        <v>316.90037840625087</v>
      </c>
      <c r="I505">
        <f>I504+N504*dz.</f>
        <v>316.23915204373003</v>
      </c>
      <c r="J505">
        <f>(10^(AntA.-AntB./(AntC.+(H505-273.15)))*101325/760)</f>
        <v>8962.4549924811035</v>
      </c>
      <c r="K505">
        <f>(J505/(R.*H505)-G505)</f>
        <v>0.10634209016818019</v>
      </c>
      <c r="L505">
        <f>a.*kc./G.*K505</f>
        <v>9.1213301319958306E-2</v>
      </c>
      <c r="M505">
        <f>a.*h./(L.*Cpw.)*(H505-I505)+a.*lambda.*kc./(L.*Cpw.)*K505</f>
        <v>0.52198889619798572</v>
      </c>
      <c r="N505">
        <f>a.*kc./G.*(H505-I505)</f>
        <v>0.56715679887360149</v>
      </c>
    </row>
    <row r="506" spans="5:14" x14ac:dyDescent="0.25">
      <c r="E506">
        <v>504</v>
      </c>
      <c r="F506">
        <f>dz.*E506</f>
        <v>11.459510161415967</v>
      </c>
      <c r="G506">
        <f>G505+L505*dz.</f>
        <v>3.2974177374142171</v>
      </c>
      <c r="H506">
        <f>H505+M505*dz.</f>
        <v>316.91224693216384</v>
      </c>
      <c r="I506">
        <f>I505+N505*dz.</f>
        <v>316.25204755781698</v>
      </c>
      <c r="J506">
        <f>(10^(AntA.-AntB./(AntC.+(H506-273.15)))*101325/760)</f>
        <v>8967.9738138544144</v>
      </c>
      <c r="K506">
        <f>(J506/(R.*H506)-G506)</f>
        <v>0.10623534885880614</v>
      </c>
      <c r="L506">
        <f>a.*kc./G.*K506</f>
        <v>9.1121745594470643E-2</v>
      </c>
      <c r="M506">
        <f>a.*h./(L.*Cpw.)*(H506-I506)+a.*lambda.*kc./(L.*Cpw.)*K506</f>
        <v>0.52142154513286632</v>
      </c>
      <c r="N506">
        <f>a.*kc./G.*(H506-I506)</f>
        <v>0.56627591547534639</v>
      </c>
    </row>
    <row r="507" spans="5:14" x14ac:dyDescent="0.25">
      <c r="E507">
        <v>505</v>
      </c>
      <c r="F507">
        <f>dz.*E507</f>
        <v>11.482247284752111</v>
      </c>
      <c r="G507">
        <f>G506+L506*dz.</f>
        <v>3.2994895837824032</v>
      </c>
      <c r="H507">
        <f>H506+M506*dz.</f>
        <v>316.92410255814565</v>
      </c>
      <c r="I507">
        <f>I506+N506*dz.</f>
        <v>316.26492304314945</v>
      </c>
      <c r="J507">
        <f>(10^(AntA.-AntB./(AntC.+(H507-273.15)))*101325/760)</f>
        <v>8973.4895573484264</v>
      </c>
      <c r="K507">
        <f>(J507/(R.*H507)-G507)</f>
        <v>0.10612951242837854</v>
      </c>
      <c r="L507">
        <f>a.*kc./G.*K507</f>
        <v>9.1030966015059014E-2</v>
      </c>
      <c r="M507">
        <f>a.*h./(L.*Cpw.)*(H507-I507)+a.*lambda.*kc./(L.*Cpw.)*K507</f>
        <v>0.52085881523397193</v>
      </c>
      <c r="N507">
        <f>a.*kc./G.*(H507-I507)</f>
        <v>0.5654011467162513</v>
      </c>
    </row>
    <row r="508" spans="5:14" x14ac:dyDescent="0.25">
      <c r="E508">
        <v>506</v>
      </c>
      <c r="F508">
        <f>dz.*E508</f>
        <v>11.504984408088253</v>
      </c>
      <c r="G508">
        <f>G507+L507*dz.</f>
        <v>3.3015593660840956</v>
      </c>
      <c r="H508">
        <f>H507+M507*dz.</f>
        <v>316.93594538926834</v>
      </c>
      <c r="I508">
        <f>I507+N507*dz.</f>
        <v>316.27777863875673</v>
      </c>
      <c r="J508">
        <f>(10^(AntA.-AntB./(AntC.+(H508-273.15)))*101325/760)</f>
        <v>8979.0022636311096</v>
      </c>
      <c r="K508">
        <f>(J508/(R.*H508)-G508)</f>
        <v>0.10602457790572917</v>
      </c>
      <c r="L508">
        <f>a.*kc./G.*K508</f>
        <v>9.0940960033249307E-2</v>
      </c>
      <c r="M508">
        <f>a.*h./(L.*Cpw.)*(H508-I508)+a.*lambda.*kc./(L.*Cpw.)*K508</f>
        <v>0.52030069006728741</v>
      </c>
      <c r="N508">
        <f>a.*kc./G.*(H508-I508)</f>
        <v>0.56453246347001707</v>
      </c>
    </row>
    <row r="509" spans="5:14" x14ac:dyDescent="0.25">
      <c r="E509">
        <v>507</v>
      </c>
      <c r="F509">
        <f>dz.*E509</f>
        <v>11.527721531424396</v>
      </c>
      <c r="G509">
        <f>G508+L508*dz.</f>
        <v>3.3036271019086789</v>
      </c>
      <c r="H509">
        <f>H508+M508*dz.</f>
        <v>316.94777553023027</v>
      </c>
      <c r="I509">
        <f>I508+N508*dz.</f>
        <v>316.29061448300592</v>
      </c>
      <c r="J509">
        <f>(10^(AntA.-AntB./(AntC.+(H509-273.15)))*101325/760)</f>
        <v>8984.5119733021747</v>
      </c>
      <c r="K509">
        <f>(J509/(R.*H509)-G509)</f>
        <v>0.10592054235066994</v>
      </c>
      <c r="L509">
        <f>a.*kc./G.*K509</f>
        <v>9.0851725127140182E-2</v>
      </c>
      <c r="M509">
        <f>a.*h./(L.*Cpw.)*(H509-I509)+a.*lambda.*kc./(L.*Cpw.)*K509</f>
        <v>0.51974715336231747</v>
      </c>
      <c r="N509">
        <f>a.*kc./G.*(H509-I509)</f>
        <v>0.56366983685778427</v>
      </c>
    </row>
    <row r="510" spans="5:14" x14ac:dyDescent="0.25">
      <c r="E510">
        <v>508</v>
      </c>
      <c r="F510">
        <f>dz.*E510</f>
        <v>11.550458654760538</v>
      </c>
      <c r="G510">
        <f>G509+L509*dz.</f>
        <v>3.305692808788196</v>
      </c>
      <c r="H510">
        <f>H509+M509*dz.</f>
        <v>316.95959308535987</v>
      </c>
      <c r="I510">
        <f>I509+N509*dz.</f>
        <v>316.30343071360744</v>
      </c>
      <c r="J510">
        <f>(10^(AntA.-AntB./(AntC.+(H510-273.15)))*101325/760)</f>
        <v>8990.01872689431</v>
      </c>
      <c r="K510">
        <f>(J510/(R.*H510)-G510)</f>
        <v>0.10581740285384322</v>
      </c>
      <c r="L510">
        <f>a.*kc./G.*K510</f>
        <v>9.0763258801274602E-2</v>
      </c>
      <c r="M510">
        <f>a.*h./(L.*Cpw.)*(H510-I510)+a.*lambda.*kc./(L.*Cpw.)*K510</f>
        <v>0.51919818901125958</v>
      </c>
      <c r="N510">
        <f>a.*kc./G.*(H510-I510)</f>
        <v>0.56281323824667018</v>
      </c>
    </row>
    <row r="511" spans="5:14" x14ac:dyDescent="0.25">
      <c r="E511">
        <v>509</v>
      </c>
      <c r="F511">
        <f>dz.*E511</f>
        <v>11.573195778096681</v>
      </c>
      <c r="G511">
        <f>G510+L510*dz.</f>
        <v>3.3077565041979509</v>
      </c>
      <c r="H511">
        <f>H510+M510*dz.</f>
        <v>316.97139815861931</v>
      </c>
      <c r="I511">
        <f>I510+N510*dz.</f>
        <v>316.31622746762065</v>
      </c>
      <c r="J511">
        <f>(10^(AntA.-AntB./(AntC.+(H511-273.15)))*101325/760)</f>
        <v>8995.5225648741616</v>
      </c>
      <c r="K511">
        <f>(J511/(R.*H511)-G511)</f>
        <v>0.10571515653647712</v>
      </c>
      <c r="L511">
        <f>a.*kc./G.*K511</f>
        <v>9.0675558586430033E-2</v>
      </c>
      <c r="M511">
        <f>a.*h./(L.*Cpw.)*(H511-I511)+a.*lambda.*kc./(L.*Cpw.)*K511</f>
        <v>0.51865378106774662</v>
      </c>
      <c r="N511">
        <f>a.*kc./G.*(H511-I511)</f>
        <v>0.56196263924806267</v>
      </c>
    </row>
    <row r="512" spans="5:14" x14ac:dyDescent="0.25">
      <c r="E512">
        <v>510</v>
      </c>
      <c r="F512">
        <f>dz.*E512</f>
        <v>11.595932901432825</v>
      </c>
      <c r="G512">
        <f>G511+L511*dz.</f>
        <v>3.3098182055571042</v>
      </c>
      <c r="H512">
        <f>H511+M511*dz.</f>
        <v>316.98319085360822</v>
      </c>
      <c r="I512">
        <f>I511+N511*dz.</f>
        <v>316.32900488145953</v>
      </c>
      <c r="J512">
        <f>(10^(AntA.-AntB./(AntC.+(H512-273.15)))*101325/760)</f>
        <v>9001.0235276435251</v>
      </c>
      <c r="K512">
        <f>(J512/(R.*H512)-G512)</f>
        <v>0.10561380055022829</v>
      </c>
      <c r="L512">
        <f>a.*kc./G.*K512</f>
        <v>9.0588622039483521E-2</v>
      </c>
      <c r="M512">
        <f>a.*h./(L.*Cpw.)*(H512-I512)+a.*lambda.*kc./(L.*Cpw.)*K512</f>
        <v>0.51811391374596183</v>
      </c>
      <c r="N512">
        <f>a.*kc./G.*(H512-I512)</f>
        <v>0.56111801171596221</v>
      </c>
    </row>
    <row r="513" spans="5:14" x14ac:dyDescent="0.25">
      <c r="E513">
        <v>511</v>
      </c>
      <c r="F513">
        <f>dz.*E513</f>
        <v>11.618670024768967</v>
      </c>
      <c r="G513">
        <f>G512+L512*dz.</f>
        <v>3.3118779302292669</v>
      </c>
      <c r="H513">
        <f>H512+M512*dz.</f>
        <v>316.99497127356722</v>
      </c>
      <c r="I513">
        <f>I512+N512*dz.</f>
        <v>316.34176309089804</v>
      </c>
      <c r="J513">
        <f>(10^(AntA.-AntB./(AntC.+(H513-273.15)))*101325/760)</f>
        <v>9006.5216555404713</v>
      </c>
      <c r="K513">
        <f>(J513/(R.*H513)-G513)</f>
        <v>0.10551333207700209</v>
      </c>
      <c r="L513">
        <f>a.*kc./G.*K513</f>
        <v>9.0502446743257484E-2</v>
      </c>
      <c r="M513">
        <f>a.*h./(L.*Cpw.)*(H513-I513)+a.*lambda.*kc./(L.*Cpw.)*K513</f>
        <v>0.51757857141966446</v>
      </c>
      <c r="N513">
        <f>a.*kc./G.*(H513-I513)</f>
        <v>0.56027932774537303</v>
      </c>
    </row>
    <row r="514" spans="5:14" x14ac:dyDescent="0.25">
      <c r="E514">
        <v>512</v>
      </c>
      <c r="F514">
        <f>dz.*E514</f>
        <v>11.64140714810511</v>
      </c>
      <c r="G514">
        <f>G513+L513*dz.</f>
        <v>3.313935695523091</v>
      </c>
      <c r="H514">
        <f>H513+M513*dz.</f>
        <v>317.00673952138175</v>
      </c>
      <c r="I514">
        <f>I513+N513*dz.</f>
        <v>316.35450223107568</v>
      </c>
      <c r="J514">
        <f>(10^(AntA.-AntB./(AntC.+(H514-273.15)))*101325/760)</f>
        <v>9012.0169888404471</v>
      </c>
      <c r="K514">
        <f>(J514/(R.*H514)-G514)</f>
        <v>0.10541374832876471</v>
      </c>
      <c r="L514">
        <f>a.*kc./G.*K514</f>
        <v>9.0417030306358601E-2</v>
      </c>
      <c r="M514">
        <f>a.*h./(L.*Cpw.)*(H514-I514)+a.*lambda.*kc./(L.*Cpw.)*K514</f>
        <v>0.51704773862121123</v>
      </c>
      <c r="N514">
        <f>a.*kc./G.*(H514-I514)</f>
        <v>0.55944655967088919</v>
      </c>
    </row>
    <row r="515" spans="5:14" x14ac:dyDescent="0.25">
      <c r="E515">
        <v>513</v>
      </c>
      <c r="F515">
        <f>dz.*E515</f>
        <v>11.664144271441252</v>
      </c>
      <c r="G515">
        <f>G514+L514*dz.</f>
        <v>3.3159915186928544</v>
      </c>
      <c r="H515">
        <f>H514+M514*dz.</f>
        <v>317.01849569958546</v>
      </c>
      <c r="I515">
        <f>I514+N514*dz.</f>
        <v>316.36722243650291</v>
      </c>
      <c r="J515">
        <f>(10^(AntA.-AntB./(AntC.+(H515-273.15)))*101325/760)</f>
        <v>9017.5095677573681</v>
      </c>
      <c r="K515">
        <f>(J515/(R.*H515)-G515)</f>
        <v>0.1053150465473589</v>
      </c>
      <c r="L515">
        <f>a.*kc./G.*K515</f>
        <v>9.0332370363019637E-2</v>
      </c>
      <c r="M515">
        <f>a.*h./(L.*Cpw.)*(H515-I515)+a.*lambda.*kc./(L.*Cpw.)*K515</f>
        <v>0.5165214000405367</v>
      </c>
      <c r="N515">
        <f>a.*kc./G.*(H515-I515)</f>
        <v>0.5586196800648906</v>
      </c>
    </row>
    <row r="516" spans="5:14" x14ac:dyDescent="0.25">
      <c r="E516">
        <v>514</v>
      </c>
      <c r="F516">
        <f>dz.*E516</f>
        <v>11.686881394777394</v>
      </c>
      <c r="G516">
        <f>G515+L515*dz.</f>
        <v>3.3180454169390443</v>
      </c>
      <c r="H516">
        <f>H515+M515*dz.</f>
        <v>317.03023991036395</v>
      </c>
      <c r="I516">
        <f>I515+N515*dz.</f>
        <v>316.37992384106656</v>
      </c>
      <c r="J516">
        <f>(10^(AntA.-AntB./(AntC.+(H516-273.15)))*101325/760)</f>
        <v>9022.9994324447925</v>
      </c>
      <c r="K516">
        <f>(J516/(R.*H516)-G516)</f>
        <v>0.10521722400435207</v>
      </c>
      <c r="L516">
        <f>a.*kc./G.*K516</f>
        <v>9.0248464572969284E-2</v>
      </c>
      <c r="M516">
        <f>a.*h./(L.*Cpw.)*(H516-I516)+a.*lambda.*kc./(L.*Cpw.)*K516</f>
        <v>0.51599954052432384</v>
      </c>
      <c r="N516">
        <f>a.*kc./G.*(H516-I516)</f>
        <v>0.5577986617361288</v>
      </c>
    </row>
    <row r="517" spans="5:14" x14ac:dyDescent="0.25">
      <c r="E517">
        <v>515</v>
      </c>
      <c r="F517">
        <f>dz.*E517</f>
        <v>11.709618518113539</v>
      </c>
      <c r="G517">
        <f>G516+L516*dz.</f>
        <v>3.3200974074089373</v>
      </c>
      <c r="H517">
        <f>H516+M516*dz.</f>
        <v>317.04197225555822</v>
      </c>
      <c r="I517">
        <f>I516+N516*dz.</f>
        <v>316.39260657803521</v>
      </c>
      <c r="J517">
        <f>(10^(AntA.-AntB./(AntC.+(H517-273.15)))*101325/760)</f>
        <v>9028.4866229968848</v>
      </c>
      <c r="K517">
        <f>(J517/(R.*H517)-G517)</f>
        <v>0.10512027800080803</v>
      </c>
      <c r="L517">
        <f>a.*kc./G.*K517</f>
        <v>9.0165310621236311E-2</v>
      </c>
      <c r="M517">
        <f>a.*h./(L.*Cpw.)*(H517-I517)+a.*lambda.*kc./(L.*Cpw.)*K517</f>
        <v>0.51548214507482248</v>
      </c>
      <c r="N517">
        <f>a.*kc./G.*(H517-I517)</f>
        <v>0.55698347772806989</v>
      </c>
    </row>
    <row r="518" spans="5:14" x14ac:dyDescent="0.25">
      <c r="E518">
        <v>516</v>
      </c>
      <c r="F518">
        <f>dz.*E518</f>
        <v>11.732355641449681</v>
      </c>
      <c r="G518">
        <f>G517+L517*dz.</f>
        <v>3.3221475071971742</v>
      </c>
      <c r="H518">
        <f>H517+M517*dz.</f>
        <v>317.05369283666835</v>
      </c>
      <c r="I518">
        <f>I517+N517*dz.</f>
        <v>316.40527078006448</v>
      </c>
      <c r="J518">
        <f>(10^(AntA.-AntB./(AntC.+(H518-273.15)))*101325/760)</f>
        <v>9033.9711794497598</v>
      </c>
      <c r="K518">
        <f>(J518/(R.*H518)-G518)</f>
        <v>0.1050242058672044</v>
      </c>
      <c r="L518">
        <f>a.*kc./G.*K518</f>
        <v>9.0082906218078726E-2</v>
      </c>
      <c r="M518">
        <f>a.*h./(L.*Cpw.)*(H518-I518)+a.*lambda.*kc./(L.*Cpw.)*K518</f>
        <v>0.51496919884931458</v>
      </c>
      <c r="N518">
        <f>a.*kc./G.*(H518-I518)</f>
        <v>0.55617410131752865</v>
      </c>
    </row>
    <row r="519" spans="5:14" x14ac:dyDescent="0.25">
      <c r="E519">
        <v>517</v>
      </c>
      <c r="F519">
        <f>dz.*E519</f>
        <v>11.755092764785823</v>
      </c>
      <c r="G519">
        <f>G518+L518*dz.</f>
        <v>3.324195733346333</v>
      </c>
      <c r="H519">
        <f>H518+M518*dz.</f>
        <v>317.06540175485691</v>
      </c>
      <c r="I519">
        <f>I518+N518*dz.</f>
        <v>316.41791657920248</v>
      </c>
      <c r="J519">
        <f>(10^(AntA.-AntB./(AntC.+(H519-273.15)))*101325/760)</f>
        <v>9039.4531417823255</v>
      </c>
      <c r="K519">
        <f>(J519/(R.*H519)-G519)</f>
        <v>0.10492900496316793</v>
      </c>
      <c r="L519">
        <f>a.*kc./G.*K519</f>
        <v>9.0001249098756758E-2</v>
      </c>
      <c r="M519">
        <f>a.*h./(L.*Cpw.)*(H519-I519)+a.*lambda.*kc./(L.*Cpw.)*K519</f>
        <v>0.51446068715876769</v>
      </c>
      <c r="N519">
        <f>a.*kc./G.*(H519-I519)</f>
        <v>0.55537050601291349</v>
      </c>
    </row>
    <row r="520" spans="5:14" x14ac:dyDescent="0.25">
      <c r="E520">
        <v>518</v>
      </c>
      <c r="F520">
        <f>dz.*E520</f>
        <v>11.777829888121966</v>
      </c>
      <c r="G520">
        <f>G519+L519*dz.</f>
        <v>3.3262421028474982</v>
      </c>
      <c r="H520">
        <f>H519+M519*dz.</f>
        <v>317.07709911095242</v>
      </c>
      <c r="I520">
        <f>I519+N519*dz.</f>
        <v>316.43054410689496</v>
      </c>
      <c r="J520">
        <f>(10^(AntA.-AntB./(AntC.+(H520-273.15)))*101325/760)</f>
        <v>9044.9325499175957</v>
      </c>
      <c r="K520">
        <f>(J520/(R.*H520)-G520)</f>
        <v>0.10483467267738833</v>
      </c>
      <c r="L520">
        <f>a.*kc./G.*K520</f>
        <v>8.9920337023458946E-2</v>
      </c>
      <c r="M520">
        <f>a.*h./(L.*Cpw.)*(H520-I520)+a.*lambda.*kc./(L.*Cpw.)*K520</f>
        <v>0.51395659546727201</v>
      </c>
      <c r="N520">
        <f>a.*kc./G.*(H520-I520)</f>
        <v>0.55457266555276408</v>
      </c>
    </row>
    <row r="521" spans="5:14" x14ac:dyDescent="0.25">
      <c r="E521">
        <v>519</v>
      </c>
      <c r="F521">
        <f>dz.*E521</f>
        <v>11.800567011458108</v>
      </c>
      <c r="G521">
        <f>G520+L520*dz.</f>
        <v>3.328286632640828</v>
      </c>
      <c r="H521">
        <f>H520+M520*dz.</f>
        <v>317.08878500545296</v>
      </c>
      <c r="I521">
        <f>I520+N520*dz.</f>
        <v>316.44315349399051</v>
      </c>
      <c r="J521">
        <f>(10^(AntA.-AntB./(AntC.+(H521-273.15)))*101325/760)</f>
        <v>9050.4094437236254</v>
      </c>
      <c r="K521">
        <f>(J521/(R.*H521)-G521)</f>
        <v>0.10474120642738916</v>
      </c>
      <c r="L521">
        <f>a.*kc./G.*K521</f>
        <v>8.9840167777105601E-2</v>
      </c>
      <c r="M521">
        <f>a.*h./(L.*Cpw.)*(H521-I521)+a.*lambda.*kc./(L.*Cpw.)*K521</f>
        <v>0.51345690939089572</v>
      </c>
      <c r="N521">
        <f>a.*kc./G.*(H521-I521)</f>
        <v>0.55378055390438585</v>
      </c>
    </row>
    <row r="522" spans="5:14" x14ac:dyDescent="0.25">
      <c r="E522">
        <v>520</v>
      </c>
      <c r="F522">
        <f>dz.*E522</f>
        <v>11.823304134794252</v>
      </c>
      <c r="G522">
        <f>G521+L521*dz.</f>
        <v>3.330329339616116</v>
      </c>
      <c r="H522">
        <f>H521+M521*dz.</f>
        <v>317.10045953852961</v>
      </c>
      <c r="I522">
        <f>I521+N521*dz.</f>
        <v>316.45574487074578</v>
      </c>
      <c r="J522">
        <f>(10^(AntA.-AntB./(AntC.+(H522-273.15)))*101325/760)</f>
        <v>9055.8838630147493</v>
      </c>
      <c r="K522">
        <f>(J522/(R.*H522)-G522)</f>
        <v>0.10464860365942164</v>
      </c>
      <c r="L522">
        <f>a.*kc./G.*K522</f>
        <v>8.9760739169257808E-2</v>
      </c>
      <c r="M522">
        <f>a.*h./(L.*Cpw.)*(H522-I522)+a.*lambda.*kc./(L.*Cpw.)*K522</f>
        <v>0.51296161469703228</v>
      </c>
      <c r="N522">
        <f>a.*kc./G.*(H522-I522)</f>
        <v>0.55299414526233859</v>
      </c>
    </row>
    <row r="523" spans="5:14" x14ac:dyDescent="0.25">
      <c r="E523">
        <v>521</v>
      </c>
      <c r="F523">
        <f>dz.*E523</f>
        <v>11.846041258130395</v>
      </c>
      <c r="G523">
        <f>G522+L522*dz.</f>
        <v>3.3323702406133506</v>
      </c>
      <c r="H523">
        <f>H522+M522*dz.</f>
        <v>317.11212281002969</v>
      </c>
      <c r="I523">
        <f>I522+N522*dz.</f>
        <v>316.46831836683077</v>
      </c>
      <c r="J523">
        <f>(10^(AntA.-AntB./(AntC.+(H523-273.15)))*101325/760)</f>
        <v>9061.3558475525424</v>
      </c>
      <c r="K523">
        <f>(J523/(R.*H523)-G523)</f>
        <v>0.10455686184825597</v>
      </c>
      <c r="L523">
        <f>a.*kc./G.*K523</f>
        <v>8.968204903393831E-2</v>
      </c>
      <c r="M523">
        <f>a.*h./(L.*Cpw.)*(H523-I523)+a.*lambda.*kc./(L.*Cpw.)*K523</f>
        <v>0.51247069730328654</v>
      </c>
      <c r="N523">
        <f>a.*kc./G.*(H523-I523)</f>
        <v>0.55221341404668123</v>
      </c>
    </row>
    <row r="524" spans="5:14" x14ac:dyDescent="0.25">
      <c r="E524">
        <v>522</v>
      </c>
      <c r="F524">
        <f>dz.*E524</f>
        <v>11.868778381466537</v>
      </c>
      <c r="G524">
        <f>G523+L523*dz.</f>
        <v>3.3344093524232732</v>
      </c>
      <c r="H524">
        <f>H523+M523*dz.</f>
        <v>317.12377491948041</v>
      </c>
      <c r="I524">
        <f>I523+N523*dz.</f>
        <v>316.48087411133383</v>
      </c>
      <c r="J524">
        <f>(10^(AntA.-AntB./(AntC.+(H524-273.15)))*101325/760)</f>
        <v>9066.8254370469822</v>
      </c>
      <c r="K524">
        <f>(J524/(R.*H524)-G524)</f>
        <v>0.10446597849704853</v>
      </c>
      <c r="L524">
        <f>a.*kc./G.*K524</f>
        <v>8.9604095229517677E-2</v>
      </c>
      <c r="M524">
        <f>a.*h./(L.*Cpw.)*(H524-I524)+a.*lambda.*kc./(L.*Cpw.)*K524</f>
        <v>0.51198414327675879</v>
      </c>
      <c r="N524">
        <f>a.*kc./G.*(H524-I524)</f>
        <v>0.55143833490180161</v>
      </c>
    </row>
    <row r="525" spans="5:14" x14ac:dyDescent="0.25">
      <c r="E525">
        <v>523</v>
      </c>
      <c r="F525">
        <f>dz.*E525</f>
        <v>11.89151550480268</v>
      </c>
      <c r="G525">
        <f>G524+L524*dz.</f>
        <v>3.3364466917879301</v>
      </c>
      <c r="H525">
        <f>H524+M524*dz.</f>
        <v>317.13541596609224</v>
      </c>
      <c r="I525">
        <f>I524+N524*dz.</f>
        <v>316.49341223276679</v>
      </c>
      <c r="J525">
        <f>(10^(AntA.-AntB./(AntC.+(H525-273.15)))*101325/760)</f>
        <v>9072.2926711575965</v>
      </c>
      <c r="K525">
        <f>(J525/(R.*H525)-G525)</f>
        <v>0.10437595113720688</v>
      </c>
      <c r="L525">
        <f>a.*kc./G.*K525</f>
        <v>8.9526875638598499E-2</v>
      </c>
      <c r="M525">
        <f>a.*h./(L.*Cpw.)*(H525-I525)+a.*lambda.*kc./(L.*Cpw.)*K525</f>
        <v>0.51150193883327133</v>
      </c>
      <c r="N525">
        <f>a.*kc./G.*(H525-I525)</f>
        <v>0.55066888269490544</v>
      </c>
    </row>
    <row r="526" spans="5:14" x14ac:dyDescent="0.25">
      <c r="E526">
        <v>524</v>
      </c>
      <c r="F526">
        <f>dz.*E526</f>
        <v>11.914252628138824</v>
      </c>
      <c r="G526">
        <f>G525+L525*dz.</f>
        <v>3.3384822754012244</v>
      </c>
      <c r="H526">
        <f>H525+M525*dz.</f>
        <v>317.14704604876215</v>
      </c>
      <c r="I526">
        <f>I525+N525*dz.</f>
        <v>316.50593285907001</v>
      </c>
      <c r="J526">
        <f>(10^(AntA.-AntB./(AntC.+(H526-273.15)))*101325/760)</f>
        <v>9077.7575894944021</v>
      </c>
      <c r="K526">
        <f>(J526/(R.*H526)-G526)</f>
        <v>0.10428677732818414</v>
      </c>
      <c r="L526">
        <f>a.*kc./G.*K526</f>
        <v>8.9450388167839026E-2</v>
      </c>
      <c r="M526">
        <f>a.*h./(L.*Cpw.)*(H526-I526)+a.*lambda.*kc./(L.*Cpw.)*K526</f>
        <v>0.51102407033629527</v>
      </c>
      <c r="N526">
        <f>a.*kc./G.*(H526-I526)</f>
        <v>0.54990503251445533</v>
      </c>
    </row>
    <row r="527" spans="5:14" x14ac:dyDescent="0.25">
      <c r="E527">
        <v>525</v>
      </c>
      <c r="F527">
        <f>dz.*E527</f>
        <v>11.936989751474966</v>
      </c>
      <c r="G527">
        <f>G526+L526*dz.</f>
        <v>3.3405161199094624</v>
      </c>
      <c r="H527">
        <f>H526+M526*dz.</f>
        <v>317.15866526607715</v>
      </c>
      <c r="I527">
        <f>I526+N526*dz.</f>
        <v>316.51843611761745</v>
      </c>
      <c r="J527">
        <f>(10^(AntA.-AntB./(AntC.+(H527-273.15)))*101325/760)</f>
        <v>9083.2202316191579</v>
      </c>
      <c r="K527">
        <f>(J527/(R.*H527)-G527)</f>
        <v>0.10419845465738753</v>
      </c>
      <c r="L527">
        <f>a.*kc./G.*K527</f>
        <v>8.9374630747874703E-2</v>
      </c>
      <c r="M527">
        <f>a.*h./(L.*Cpw.)*(H527-I527)+a.*lambda.*kc./(L.*Cpw.)*K527</f>
        <v>0.51055052429639214</v>
      </c>
      <c r="N527">
        <f>a.*kc./G.*(H527-I527)</f>
        <v>0.54914675966890392</v>
      </c>
    </row>
    <row r="528" spans="5:14" x14ac:dyDescent="0.25">
      <c r="E528">
        <v>526</v>
      </c>
      <c r="F528">
        <f>dz.*E528</f>
        <v>11.959726874811109</v>
      </c>
      <c r="G528">
        <f>G527+L527*dz.</f>
        <v>3.3425482419118993</v>
      </c>
      <c r="H528">
        <f>H527+M527*dz.</f>
        <v>317.17027371631741</v>
      </c>
      <c r="I528">
        <f>I527+N527*dz.</f>
        <v>316.53092213522172</v>
      </c>
      <c r="J528">
        <f>(10^(AntA.-AntB./(AntC.+(H528-273.15)))*101325/760)</f>
        <v>9088.6806370462928</v>
      </c>
      <c r="K528">
        <f>(J528/(R.*H528)-G528)</f>
        <v>0.10411098073997138</v>
      </c>
      <c r="L528">
        <f>a.*kc./G.*K528</f>
        <v>8.9299601333140632E-2</v>
      </c>
      <c r="M528">
        <f>a.*h./(L.*Cpw.)*(H528-I528)+a.*lambda.*kc./(L.*Cpw.)*K528</f>
        <v>0.51008128737011493</v>
      </c>
      <c r="N528">
        <f>a.*kc./G.*(H528-I528)</f>
        <v>0.54839403968498668</v>
      </c>
    </row>
    <row r="529" spans="5:14" x14ac:dyDescent="0.25">
      <c r="E529">
        <v>527</v>
      </c>
      <c r="F529">
        <f>dz.*E529</f>
        <v>11.982463998147251</v>
      </c>
      <c r="G529">
        <f>G528+L528*dz.</f>
        <v>3.3445786579612791</v>
      </c>
      <c r="H529">
        <f>H528+M528*dz.</f>
        <v>317.18187149745978</v>
      </c>
      <c r="I529">
        <f>I528+N528*dz.</f>
        <v>316.54339103813885</v>
      </c>
      <c r="J529">
        <f>(10^(AntA.-AntB./(AntC.+(H529-273.15)))*101325/760)</f>
        <v>9094.1388452440951</v>
      </c>
      <c r="K529">
        <f>(J529/(R.*H529)-G529)</f>
        <v>0.10402435321873238</v>
      </c>
      <c r="L529">
        <f>a.*kc./G.*K529</f>
        <v>8.9225297901781728E-2</v>
      </c>
      <c r="M529">
        <f>a.*h./(L.*Cpw.)*(H529-I529)+a.*lambda.*kc./(L.*Cpw.)*K529</f>
        <v>0.50961634635942155</v>
      </c>
      <c r="N529">
        <f>a.*kc./G.*(H529-I529)</f>
        <v>0.54764684830664989</v>
      </c>
    </row>
    <row r="530" spans="5:14" x14ac:dyDescent="0.25">
      <c r="E530">
        <v>528</v>
      </c>
      <c r="F530">
        <f>dz.*E530</f>
        <v>12.005201121483394</v>
      </c>
      <c r="G530">
        <f>G529+L529*dz.</f>
        <v>3.346607384564376</v>
      </c>
      <c r="H530">
        <f>H529+M529*dz.</f>
        <v>317.19345870718109</v>
      </c>
      <c r="I530">
        <f>I529+N529*dz.</f>
        <v>316.55584295207348</v>
      </c>
      <c r="J530">
        <f>(10^(AntA.-AntB./(AntC.+(H530-273.15)))*101325/760)</f>
        <v>9099.5948956357697</v>
      </c>
      <c r="K530">
        <f>(J530/(R.*H530)-G530)</f>
        <v>0.10393856976395233</v>
      </c>
      <c r="L530">
        <f>a.*kc./G.*K530</f>
        <v>8.9151718455517837E-2</v>
      </c>
      <c r="M530">
        <f>a.*h./(L.*Cpw.)*(H530-I530)+a.*lambda.*kc./(L.*Cpw.)*K530</f>
        <v>0.50915568821080259</v>
      </c>
      <c r="N530">
        <f>a.*kc./G.*(H530-I530)</f>
        <v>0.54690516149349011</v>
      </c>
    </row>
    <row r="531" spans="5:14" x14ac:dyDescent="0.25">
      <c r="E531">
        <v>529</v>
      </c>
      <c r="F531">
        <f>dz.*E531</f>
        <v>12.027938244819538</v>
      </c>
      <c r="G531">
        <f>G530+L530*dz.</f>
        <v>3.3486344381825282</v>
      </c>
      <c r="H531">
        <f>H530+M530*dz.</f>
        <v>317.20503544286123</v>
      </c>
      <c r="I531">
        <f>I530+N530*dz.</f>
        <v>316.56827800218355</v>
      </c>
      <c r="J531">
        <f>(10^(AntA.-AntB./(AntC.+(H531-273.15)))*101325/760)</f>
        <v>9105.048827600498</v>
      </c>
      <c r="K531">
        <f>(J531/(R.*H531)-G531)</f>
        <v>0.10385362807325293</v>
      </c>
      <c r="L531">
        <f>a.*kc./G.*K531</f>
        <v>8.9078861019519187E-2</v>
      </c>
      <c r="M531">
        <f>a.*h./(L.*Cpw.)*(H531-I531)+a.*lambda.*kc./(L.*Cpw.)*K531</f>
        <v>0.50869930001447294</v>
      </c>
      <c r="N531">
        <f>a.*kc./G.*(H531-I531)</f>
        <v>0.54616895541929134</v>
      </c>
    </row>
    <row r="532" spans="5:14" x14ac:dyDescent="0.25">
      <c r="E532">
        <v>530</v>
      </c>
      <c r="F532">
        <f>dz.*E532</f>
        <v>12.05067536815568</v>
      </c>
      <c r="G532">
        <f>G531+L531*dz.</f>
        <v>3.3506598352321721</v>
      </c>
      <c r="H532">
        <f>H531+M531*dz.</f>
        <v>317.21660180158665</v>
      </c>
      <c r="I532">
        <f>I531+N531*dz.</f>
        <v>316.5806963130853</v>
      </c>
      <c r="J532">
        <f>(10^(AntA.-AntB./(AntC.+(H532-273.15)))*101325/760)</f>
        <v>9110.5006804745135</v>
      </c>
      <c r="K532">
        <f>(J532/(R.*H532)-G532)</f>
        <v>0.10376952587145061</v>
      </c>
      <c r="L532">
        <f>a.*kc./G.*K532</f>
        <v>8.9006723642281863E-2</v>
      </c>
      <c r="M532">
        <f>a.*h./(L.*Cpw.)*(H532-I532)+a.*lambda.*kc./(L.*Cpw.)*K532</f>
        <v>0.50824716900359712</v>
      </c>
      <c r="N532">
        <f>a.*kc./G.*(H532-I532)</f>
        <v>0.54543820647080643</v>
      </c>
    </row>
    <row r="533" spans="5:14" x14ac:dyDescent="0.25">
      <c r="E533">
        <v>531</v>
      </c>
      <c r="F533">
        <f>dz.*E533</f>
        <v>12.073412491491823</v>
      </c>
      <c r="G533">
        <f>G532+L532*dz.</f>
        <v>3.3526835920853726</v>
      </c>
      <c r="H533">
        <f>H532+M532*dz.</f>
        <v>317.2281578801535</v>
      </c>
      <c r="I533">
        <f>I532+N532*dz.</f>
        <v>316.59309800885808</v>
      </c>
      <c r="J533">
        <f>(10^(AntA.-AntB./(AntC.+(H533-273.15)))*101325/760)</f>
        <v>9115.9504935521945</v>
      </c>
      <c r="K533">
        <f>(J533/(R.*H533)-G533)</f>
        <v>0.10368626091042543</v>
      </c>
      <c r="L533">
        <f>a.*kc./G.*K533</f>
        <v>8.8935304395515391E-2</v>
      </c>
      <c r="M533">
        <f>a.*h./(L.*Cpw.)*(H533-I533)+a.*lambda.*kc./(L.*Cpw.)*K533</f>
        <v>0.50779928255353945</v>
      </c>
      <c r="N533">
        <f>a.*kc./G.*(H533-I533)</f>
        <v>0.5447128912462943</v>
      </c>
    </row>
    <row r="534" spans="5:14" x14ac:dyDescent="0.25">
      <c r="E534">
        <v>532</v>
      </c>
      <c r="F534">
        <f>dz.*E534</f>
        <v>12.096149614827965</v>
      </c>
      <c r="G534">
        <f>G533+L533*dz.</f>
        <v>3.3547057250703509</v>
      </c>
      <c r="H534">
        <f>H533+M533*dz.</f>
        <v>317.23970377507095</v>
      </c>
      <c r="I534">
        <f>I533+N533*dz.</f>
        <v>316.60548321304913</v>
      </c>
      <c r="J534">
        <f>(10^(AntA.-AntB./(AntC.+(H534-273.15)))*101325/760)</f>
        <v>9121.3983060871651</v>
      </c>
      <c r="K534">
        <f>(J534/(R.*H534)-G534)</f>
        <v>0.10360383096899461</v>
      </c>
      <c r="L534">
        <f>a.*kc./G.*K534</f>
        <v>8.8864601374034194E-2</v>
      </c>
      <c r="M534">
        <f>a.*h./(L.*Cpw.)*(H534-I534)+a.*lambda.*kc./(L.*Cpw.)*K534</f>
        <v>0.50735562818116053</v>
      </c>
      <c r="N534">
        <f>a.*kc./G.*(H534-I534)</f>
        <v>0.5439929865542521</v>
      </c>
    </row>
    <row r="535" spans="5:14" x14ac:dyDescent="0.25">
      <c r="E535">
        <v>533</v>
      </c>
      <c r="F535">
        <f>dz.*E535</f>
        <v>12.118886738164107</v>
      </c>
      <c r="G535">
        <f>G534+L534*dz.</f>
        <v>3.3567262504720095</v>
      </c>
      <c r="H535">
        <f>H534+M534*dz.</f>
        <v>317.25123958256421</v>
      </c>
      <c r="I535">
        <f>I534+N534*dz.</f>
        <v>316.6178520486784</v>
      </c>
      <c r="J535">
        <f>(10^(AntA.-AntB./(AntC.+(H535-273.15)))*101325/760)</f>
        <v>9126.8441572933134</v>
      </c>
      <c r="K535">
        <f>(J535/(R.*H535)-G535)</f>
        <v>0.10352223385275972</v>
      </c>
      <c r="L535">
        <f>a.*kc./G.*K535</f>
        <v>8.8794612695626593E-2</v>
      </c>
      <c r="M535">
        <f>a.*h./(L.*Cpw.)*(H535-I535)+a.*lambda.*kc./(L.*Cpw.)*K535</f>
        <v>0.50691619354397011</v>
      </c>
      <c r="N535">
        <f>a.*kc./G.*(H535-I535)</f>
        <v>0.54327846941190405</v>
      </c>
    </row>
    <row r="536" spans="5:14" x14ac:dyDescent="0.25">
      <c r="E536">
        <v>534</v>
      </c>
      <c r="F536">
        <f>dz.*E536</f>
        <v>12.141623861500252</v>
      </c>
      <c r="G536">
        <f>G535+L535*dz.</f>
        <v>3.358745184532455</v>
      </c>
      <c r="H536">
        <f>H535+M535*dz.</f>
        <v>317.26276539857793</v>
      </c>
      <c r="I536">
        <f>I535+N535*dz.</f>
        <v>316.6302046382433</v>
      </c>
      <c r="J536">
        <f>(10^(AntA.-AntB./(AntC.+(H536-273.15)))*101325/760)</f>
        <v>9132.2880863458486</v>
      </c>
      <c r="K536">
        <f>(J536/(R.*H536)-G536)</f>
        <v>0.10344146739396409</v>
      </c>
      <c r="L536">
        <f>a.*kc./G.*K536</f>
        <v>8.8725336500932464E-2</v>
      </c>
      <c r="M536">
        <f>a.*h./(L.*Cpw.)*(H536-I536)+a.*lambda.*kc./(L.*Cpw.)*K536</f>
        <v>0.50648096643937057</v>
      </c>
      <c r="N536">
        <f>a.*kc./G.*(H536-I536)</f>
        <v>0.54256931704403077</v>
      </c>
    </row>
    <row r="537" spans="5:14" x14ac:dyDescent="0.25">
      <c r="E537">
        <v>535</v>
      </c>
      <c r="F537">
        <f>dz.*E537</f>
        <v>12.164360984836394</v>
      </c>
      <c r="G537">
        <f>G536+L536*dz.</f>
        <v>3.3607625434515174</v>
      </c>
      <c r="H537">
        <f>H536+M536*dz.</f>
        <v>317.27428131877929</v>
      </c>
      <c r="I537">
        <f>I536+N536*dz.</f>
        <v>316.64254110372332</v>
      </c>
      <c r="J537">
        <f>(10^(AntA.-AntB./(AntC.+(H537-273.15)))*101325/760)</f>
        <v>9137.7301323824649</v>
      </c>
      <c r="K537">
        <f>(J537/(R.*H537)-G537)</f>
        <v>0.10336152945140054</v>
      </c>
      <c r="L537">
        <f>a.*kc./G.*K537</f>
        <v>8.8656770953364092E-2</v>
      </c>
      <c r="M537">
        <f>a.*h./(L.*Cpw.)*(H537-I537)+a.*lambda.*kc./(L.*Cpw.)*K537</f>
        <v>0.50604993480408844</v>
      </c>
      <c r="N537">
        <f>a.*kc./G.*(H537-I537)</f>
        <v>0.54186550688165358</v>
      </c>
    </row>
    <row r="538" spans="5:14" x14ac:dyDescent="0.25">
      <c r="E538">
        <v>536</v>
      </c>
      <c r="F538">
        <f>dz.*E538</f>
        <v>12.187098108172536</v>
      </c>
      <c r="G538">
        <f>G537+L537*dz.</f>
        <v>3.362778343387268</v>
      </c>
      <c r="H538">
        <f>H537+M537*dz.</f>
        <v>317.28578743856116</v>
      </c>
      <c r="I538">
        <f>I537+N537*dz.</f>
        <v>316.65486156658488</v>
      </c>
      <c r="J538">
        <f>(10^(AntA.-AntB./(AntC.+(H538-273.15)))*101325/760)</f>
        <v>9143.1703345042843</v>
      </c>
      <c r="K538">
        <f>(J538/(R.*H538)-G538)</f>
        <v>0.10328241791023496</v>
      </c>
      <c r="L538">
        <f>a.*kc./G.*K538</f>
        <v>8.8588914238954861E-2</v>
      </c>
      <c r="M538">
        <f>a.*h./(L.*Cpw.)*(H538-I538)+a.*lambda.*kc./(L.*Cpw.)*K538</f>
        <v>0.50562308671323641</v>
      </c>
      <c r="N538">
        <f>a.*kc./G.*(H538-I538)</f>
        <v>0.54116701656057098</v>
      </c>
    </row>
    <row r="539" spans="5:14" x14ac:dyDescent="0.25">
      <c r="E539">
        <v>537</v>
      </c>
      <c r="F539">
        <f>dz.*E539</f>
        <v>12.209835231508679</v>
      </c>
      <c r="G539">
        <f>G538+L538*dz.</f>
        <v>3.3647926004565343</v>
      </c>
      <c r="H539">
        <f>H538+M538*dz.</f>
        <v>317.29728385304537</v>
      </c>
      <c r="I539">
        <f>I538+N538*dz.</f>
        <v>316.66716614778585</v>
      </c>
      <c r="J539">
        <f>(10^(AntA.-AntB./(AntC.+(H539-273.15)))*101325/760)</f>
        <v>9148.6087317771053</v>
      </c>
      <c r="K539">
        <f>(J539/(R.*H539)-G539)</f>
        <v>0.10320413068194645</v>
      </c>
      <c r="L539">
        <f>a.*kc./G.*K539</f>
        <v>8.852176456630792E-2</v>
      </c>
      <c r="M539">
        <f>a.*h./(L.*Cpw.)*(H539-I539)+a.*lambda.*kc./(L.*Cpw.)*K539</f>
        <v>0.50520041037992103</v>
      </c>
      <c r="N539">
        <f>a.*kc./G.*(H539-I539)</f>
        <v>0.54047382392033561</v>
      </c>
    </row>
    <row r="540" spans="5:14" x14ac:dyDescent="0.25">
      <c r="E540">
        <v>538</v>
      </c>
      <c r="F540">
        <f>dz.*E540</f>
        <v>12.232572354844821</v>
      </c>
      <c r="G540">
        <f>G539+L539*dz.</f>
        <v>3.3668053307354113</v>
      </c>
      <c r="H540">
        <f>H539+M539*dz.</f>
        <v>317.30877065708563</v>
      </c>
      <c r="I540">
        <f>I539+N539*dz.</f>
        <v>316.67945496778026</v>
      </c>
      <c r="J540">
        <f>(10^(AntA.-AntB./(AntC.+(H540-273.15)))*101325/760)</f>
        <v>9154.045363232246</v>
      </c>
      <c r="K540">
        <f>(J540/(R.*H540)-G540)</f>
        <v>0.10312666570412032</v>
      </c>
      <c r="L540">
        <f>a.*kc./G.*K540</f>
        <v>8.8455320166418633E-2</v>
      </c>
      <c r="M540">
        <f>a.*h./(L.*Cpw.)*(H540-I540)+a.*lambda.*kc./(L.*Cpw.)*K540</f>
        <v>0.50478189415415642</v>
      </c>
      <c r="N540">
        <f>a.*kc./G.*(H540-I540)</f>
        <v>0.53978590700264462</v>
      </c>
    </row>
    <row r="541" spans="5:14" x14ac:dyDescent="0.25">
      <c r="E541">
        <v>539</v>
      </c>
      <c r="F541">
        <f>dz.*E541</f>
        <v>12.255309478180965</v>
      </c>
      <c r="G541">
        <f>G540+L540*dz.</f>
        <v>3.3688165502597731</v>
      </c>
      <c r="H541">
        <f>H540+M540*dz.</f>
        <v>317.32024794527086</v>
      </c>
      <c r="I541">
        <f>I540+N540*dz.</f>
        <v>316.69172814652291</v>
      </c>
      <c r="J541">
        <f>(10^(AntA.-AntB./(AntC.+(H541-273.15)))*101325/760)</f>
        <v>9159.4802678677861</v>
      </c>
      <c r="K541">
        <f>(J541/(R.*H541)-G541)</f>
        <v>0.10305002094038773</v>
      </c>
      <c r="L541">
        <f>a.*kc./G.*K541</f>
        <v>8.8389579292622741E-2</v>
      </c>
      <c r="M541">
        <f>a.*h./(L.*Cpw.)*(H541-I541)+a.*lambda.*kc./(L.*Cpw.)*K541</f>
        <v>0.50436752652246986</v>
      </c>
      <c r="N541">
        <f>a.*kc./G.*(H541-I541)</f>
        <v>0.53910324405031596</v>
      </c>
    </row>
    <row r="542" spans="5:14" x14ac:dyDescent="0.25">
      <c r="E542">
        <v>540</v>
      </c>
      <c r="F542">
        <f>dz.*E542</f>
        <v>12.278046601517108</v>
      </c>
      <c r="G542">
        <f>G541+L541*dz.</f>
        <v>3.3708262750257791</v>
      </c>
      <c r="H542">
        <f>H541+M541*dz.</f>
        <v>317.33171581192818</v>
      </c>
      <c r="I542">
        <f>I541+N541*dz.</f>
        <v>316.70398580347381</v>
      </c>
      <c r="J542">
        <f>(10^(AntA.-AntB./(AntC.+(H542-273.15)))*101325/760)</f>
        <v>9164.9134846495544</v>
      </c>
      <c r="K542">
        <f>(J542/(R.*H542)-G542)</f>
        <v>0.10297419438028133</v>
      </c>
      <c r="L542">
        <f>a.*kc./G.*K542</f>
        <v>8.8324540220472633E-2</v>
      </c>
      <c r="M542">
        <f>a.*h./(L.*Cpw.)*(H542-I542)+a.*lambda.*kc./(L.*Cpw.)*K542</f>
        <v>0.50395729610711781</v>
      </c>
      <c r="N542">
        <f>a.*kc./G.*(H542-I542)</f>
        <v>0.53842581350597229</v>
      </c>
    </row>
    <row r="543" spans="5:14" x14ac:dyDescent="0.25">
      <c r="E543">
        <v>541</v>
      </c>
      <c r="F543">
        <f>dz.*E543</f>
        <v>12.30078372485325</v>
      </c>
      <c r="G543">
        <f>G542+L542*dz.</f>
        <v>3.3728345209903803</v>
      </c>
      <c r="H543">
        <f>H542+M542*dz.</f>
        <v>317.34317435112592</v>
      </c>
      <c r="I543">
        <f>I542+N542*dz.</f>
        <v>316.71622805760285</v>
      </c>
      <c r="J543">
        <f>(10^(AntA.-AntB./(AntC.+(H543-273.15)))*101325/760)</f>
        <v>9170.3450525122062</v>
      </c>
      <c r="K543">
        <f>(J543/(R.*H543)-G543)</f>
        <v>0.1028991840391158</v>
      </c>
      <c r="L543">
        <f>a.*kc./G.*K543</f>
        <v>8.826020124763484E-2</v>
      </c>
      <c r="M543">
        <f>a.*h./(L.*Cpw.)*(H543-I543)+a.*lambda.*kc./(L.*Cpw.)*K543</f>
        <v>0.50355119166540407</v>
      </c>
      <c r="N543">
        <f>a.*kc./G.*(H543-I543)</f>
        <v>0.53775359401072409</v>
      </c>
    </row>
    <row r="544" spans="5:14" x14ac:dyDescent="0.25">
      <c r="E544">
        <v>542</v>
      </c>
      <c r="F544">
        <f>dz.*E544</f>
        <v>12.323520848189393</v>
      </c>
      <c r="G544">
        <f>G543+L543*dz.</f>
        <v>3.3748413040718206</v>
      </c>
      <c r="H544">
        <f>H543+M543*dz.</f>
        <v>317.35462365667689</v>
      </c>
      <c r="I544">
        <f>I543+N543*dz.</f>
        <v>316.72845502739432</v>
      </c>
      <c r="J544">
        <f>(10^(AntA.-AntB./(AntC.+(H544-273.15)))*101325/760)</f>
        <v>9175.7750103602721</v>
      </c>
      <c r="K544">
        <f>(J544/(R.*H544)-G544)</f>
        <v>0.10282498795786932</v>
      </c>
      <c r="L544">
        <f>a.*kc./G.*K544</f>
        <v>8.8196560693788353E-2</v>
      </c>
      <c r="M544">
        <f>a.*h./(L.*Cpw.)*(H544-I544)+a.*lambda.*kc./(L.*Cpw.)*K544</f>
        <v>0.50314920208901681</v>
      </c>
      <c r="N544">
        <f>a.*kc./G.*(H544-I544)</f>
        <v>0.53708656440295088</v>
      </c>
    </row>
    <row r="545" spans="5:14" x14ac:dyDescent="0.25">
      <c r="E545">
        <v>543</v>
      </c>
      <c r="F545">
        <f>dz.*E545</f>
        <v>12.346257971525537</v>
      </c>
      <c r="G545">
        <f>G544+L544*dz.</f>
        <v>3.3768466401501387</v>
      </c>
      <c r="H545">
        <f>H544+M544*dz.</f>
        <v>317.36606382214126</v>
      </c>
      <c r="I545">
        <f>I544+N544*dz.</f>
        <v>316.74066683085135</v>
      </c>
      <c r="J545">
        <f>(10^(AntA.-AntB./(AntC.+(H545-273.15)))*101325/760)</f>
        <v>9181.2033970691864</v>
      </c>
      <c r="K545">
        <f>(J545/(R.*H545)-G545)</f>
        <v>0.10275160420305296</v>
      </c>
      <c r="L545">
        <f>a.*kc./G.*K545</f>
        <v>8.8133616900512635E-2</v>
      </c>
      <c r="M545">
        <f>a.*h./(L.*Cpw.)*(H545-I545)+a.*lambda.*kc./(L.*Cpw.)*K545</f>
        <v>0.50275131640331439</v>
      </c>
      <c r="N545">
        <f>a.*kc./G.*(H545-I545)</f>
        <v>0.53642470371708251</v>
      </c>
    </row>
    <row r="546" spans="5:14" x14ac:dyDescent="0.25">
      <c r="E546">
        <v>544</v>
      </c>
      <c r="F546">
        <f>dz.*E546</f>
        <v>12.368995094861679</v>
      </c>
      <c r="G546">
        <f>G545+L545*dz.</f>
        <v>3.378850545067666</v>
      </c>
      <c r="H546">
        <f>H545+M545*dz.</f>
        <v>317.37749494082971</v>
      </c>
      <c r="I546">
        <f>I545+N545*dz.</f>
        <v>316.75286358550034</v>
      </c>
      <c r="J546">
        <f>(10^(AntA.-AntB./(AntC.+(H546-273.15)))*101325/760)</f>
        <v>9186.6302514865074</v>
      </c>
      <c r="K546">
        <f>(J546/(R.*H546)-G546)</f>
        <v>0.10267903086665786</v>
      </c>
      <c r="L546">
        <f>a.*kc./G.*K546</f>
        <v>8.8071368231242245E-2</v>
      </c>
      <c r="M546">
        <f>a.*h./(L.*Cpw.)*(H546-I546)+a.*lambda.*kc./(L.*Cpw.)*K546</f>
        <v>0.50235752376694953</v>
      </c>
      <c r="N546">
        <f>a.*kc./G.*(H546-I546)</f>
        <v>0.53576799118247753</v>
      </c>
    </row>
    <row r="547" spans="5:14" x14ac:dyDescent="0.25">
      <c r="E547">
        <v>545</v>
      </c>
      <c r="F547">
        <f>dz.*E547</f>
        <v>12.391732218197822</v>
      </c>
      <c r="G547">
        <f>G546+L546*dz.</f>
        <v>3.3808530346295225</v>
      </c>
      <c r="H547">
        <f>H546+M546*dz.</f>
        <v>317.38891710580646</v>
      </c>
      <c r="I547">
        <f>I546+N546*dz.</f>
        <v>316.76504540839539</v>
      </c>
      <c r="J547">
        <f>(10^(AntA.-AntB./(AntC.+(H547-273.15)))*101325/760)</f>
        <v>9192.0556124327995</v>
      </c>
      <c r="K547">
        <f>(J547/(R.*H547)-G547)</f>
        <v>0.10260726606597714</v>
      </c>
      <c r="L547">
        <f>a.*kc./G.*K547</f>
        <v>8.8009813071114162E-2</v>
      </c>
      <c r="M547">
        <f>a.*h./(L.*Cpw.)*(H547-I547)+a.*lambda.*kc./(L.*Cpw.)*K547</f>
        <v>0.5019678134709501</v>
      </c>
      <c r="N547">
        <f>a.*kc./G.*(H547-I547)</f>
        <v>0.53511640622215573</v>
      </c>
    </row>
    <row r="548" spans="5:14" x14ac:dyDescent="0.25">
      <c r="E548">
        <v>546</v>
      </c>
      <c r="F548">
        <f>dz.*E548</f>
        <v>12.414469341533964</v>
      </c>
      <c r="G548">
        <f>G547+L547*dz.</f>
        <v>3.3828541246041111</v>
      </c>
      <c r="H548">
        <f>H547+M547*dz.</f>
        <v>317.40033040989209</v>
      </c>
      <c r="I548">
        <f>I547+N547*dz.</f>
        <v>316.77721241612284</v>
      </c>
      <c r="J548">
        <f>(10^(AntA.-AntB./(AntC.+(H548-273.15)))*101325/760)</f>
        <v>9197.4795187027212</v>
      </c>
      <c r="K548">
        <f>(J548/(R.*H548)-G548)</f>
        <v>0.1025363079435051</v>
      </c>
      <c r="L548">
        <f>a.*kc./G.*K548</f>
        <v>8.7948949826881284E-2</v>
      </c>
      <c r="M548">
        <f>a.*h./(L.*Cpw.)*(H548-I548)+a.*lambda.*kc./(L.*Cpw.)*K548</f>
        <v>0.50158217493810997</v>
      </c>
      <c r="N548">
        <f>a.*kc./G.*(H548-I548)</f>
        <v>0.53446992845143249</v>
      </c>
    </row>
    <row r="549" spans="5:14" x14ac:dyDescent="0.25">
      <c r="E549">
        <v>547</v>
      </c>
      <c r="F549">
        <f>dz.*E549</f>
        <v>12.437206464870107</v>
      </c>
      <c r="G549">
        <f>G548+L548*dz.</f>
        <v>3.3848538307236091</v>
      </c>
      <c r="H549">
        <f>H548+M548*dz.</f>
        <v>317.41173494566686</v>
      </c>
      <c r="I549">
        <f>I548+N548*dz.</f>
        <v>316.78936472480552</v>
      </c>
      <c r="J549">
        <f>(10^(AntA.-AntB./(AntC.+(H549-273.15)))*101325/760)</f>
        <v>9202.9020090662016</v>
      </c>
      <c r="K549">
        <f>(J549/(R.*H549)-G549)</f>
        <v>0.10246615466687325</v>
      </c>
      <c r="L549">
        <f>a.*kc./G.*K549</f>
        <v>8.7888776926857565E-2</v>
      </c>
      <c r="M549">
        <f>a.*h./(L.*Cpw.)*(H549-I549)+a.*lambda.*kc./(L.*Cpw.)*K549</f>
        <v>0.50120059772259284</v>
      </c>
      <c r="N549">
        <f>a.*kc./G.*(H549-I549)</f>
        <v>0.53382853767699301</v>
      </c>
    </row>
    <row r="550" spans="5:14" x14ac:dyDescent="0.25">
      <c r="E550">
        <v>548</v>
      </c>
      <c r="F550">
        <f>dz.*E550</f>
        <v>12.459943588206251</v>
      </c>
      <c r="G550">
        <f>G549+L549*dz.</f>
        <v>3.3868521686844577</v>
      </c>
      <c r="H550">
        <f>H549+M549*dz.</f>
        <v>317.42313080547342</v>
      </c>
      <c r="I550">
        <f>I549+N549*dz.</f>
        <v>316.80150245010702</v>
      </c>
      <c r="J550">
        <f>(10^(AntA.-AntB./(AntC.+(H550-273.15)))*101325/760)</f>
        <v>9208.3231222693339</v>
      </c>
      <c r="K550">
        <f>(J550/(R.*H550)-G550)</f>
        <v>0.10239680442868382</v>
      </c>
      <c r="L550">
        <f>a.*kc./G.*K550</f>
        <v>8.7829292820775215E-2</v>
      </c>
      <c r="M550">
        <f>a.*h./(L.*Cpw.)*(H550-I550)+a.*lambda.*kc./(L.*Cpw.)*K550</f>
        <v>0.50082307150906913</v>
      </c>
      <c r="N550">
        <f>a.*kc./G.*(H550-I550)</f>
        <v>0.53319221389567317</v>
      </c>
    </row>
    <row r="551" spans="5:14" x14ac:dyDescent="0.25">
      <c r="E551">
        <v>549</v>
      </c>
      <c r="F551">
        <f>dz.*E551</f>
        <v>12.482680711542393</v>
      </c>
      <c r="G551">
        <f>G550+L550*dz.</f>
        <v>3.38884915414785</v>
      </c>
      <c r="H551">
        <f>H550+M550*dz.</f>
        <v>317.43451808141992</v>
      </c>
      <c r="I551">
        <f>I550+N550*dz.</f>
        <v>316.81362570723621</v>
      </c>
      <c r="J551">
        <f>(10^(AntA.-AntB./(AntC.+(H551-273.15)))*101325/760)</f>
        <v>9213.7428970355904</v>
      </c>
      <c r="K551">
        <f>(J551/(R.*H551)-G551)</f>
        <v>0.1023282554464604</v>
      </c>
      <c r="L551">
        <f>a.*kc./G.*K551</f>
        <v>8.7770495979742347E-2</v>
      </c>
      <c r="M551">
        <f>a.*h./(L.*Cpw.)*(H551-I551)+a.*lambda.*kc./(L.*Cpw.)*K551</f>
        <v>0.50044958611233414</v>
      </c>
      <c r="N551">
        <f>a.*kc./G.*(H551-I551)</f>
        <v>0.53256093729319165</v>
      </c>
    </row>
    <row r="552" spans="5:14" x14ac:dyDescent="0.25">
      <c r="E552">
        <v>550</v>
      </c>
      <c r="F552">
        <f>dz.*E552</f>
        <v>12.505417834878536</v>
      </c>
      <c r="G552">
        <f>G551+L551*dz.</f>
        <v>3.390844802740216</v>
      </c>
      <c r="H552">
        <f>H551+M551*dz.</f>
        <v>317.44589686538291</v>
      </c>
      <c r="I552">
        <f>I551+N551*dz.</f>
        <v>316.82573461095149</v>
      </c>
      <c r="J552">
        <f>(10^(AntA.-AntB./(AntC.+(H552-273.15)))*101325/760)</f>
        <v>9219.1613720667519</v>
      </c>
      <c r="K552">
        <f>(J552/(R.*H552)-G552)</f>
        <v>0.10226050596250102</v>
      </c>
      <c r="L552">
        <f>a.*kc./G.*K552</f>
        <v>8.7712384896116991E-2</v>
      </c>
      <c r="M552">
        <f>a.*h./(L.*Cpw.)*(H552-I552)+a.*lambda.*kc./(L.*Cpw.)*K552</f>
        <v>0.50008013147653241</v>
      </c>
      <c r="N552">
        <f>a.*kc./G.*(H552-I552)</f>
        <v>0.53193468824298007</v>
      </c>
    </row>
    <row r="553" spans="5:14" x14ac:dyDescent="0.25">
      <c r="E553">
        <v>551</v>
      </c>
      <c r="F553">
        <f>dz.*E553</f>
        <v>12.528154958214678</v>
      </c>
      <c r="G553">
        <f>G552+L552*dz.</f>
        <v>3.3928391300537064</v>
      </c>
      <c r="H553">
        <f>H552+M552*dz.</f>
        <v>317.45726724901021</v>
      </c>
      <c r="I553">
        <f>I552+N552*dz.</f>
        <v>316.83782927556484</v>
      </c>
      <c r="J553">
        <f>(10^(AntA.-AntB./(AntC.+(H553-273.15)))*101325/760)</f>
        <v>9224.5785860440028</v>
      </c>
      <c r="K553">
        <f>(J553/(R.*H553)-G553)</f>
        <v>0.1021935542437884</v>
      </c>
      <c r="L553">
        <f>a.*kc./G.*K553</f>
        <v>8.7654958083430073E-2</v>
      </c>
      <c r="M553">
        <f>a.*h./(L.*Cpw.)*(H553-I553)+a.*lambda.*kc./(L.*Cpw.)*K553</f>
        <v>0.49971469767464805</v>
      </c>
      <c r="N553">
        <f>a.*kc./G.*(H553-I553)</f>
        <v>0.53131344730520758</v>
      </c>
    </row>
    <row r="554" spans="5:14" x14ac:dyDescent="0.25">
      <c r="E554">
        <v>552</v>
      </c>
      <c r="F554">
        <f>dz.*E554</f>
        <v>12.55089208155082</v>
      </c>
      <c r="G554">
        <f>G553+L553*dz.</f>
        <v>3.394832151646674</v>
      </c>
      <c r="H554">
        <f>H553+M553*dz.</f>
        <v>317.46862932372414</v>
      </c>
      <c r="I554">
        <f>I553+N553*dz.</f>
        <v>316.84990981494639</v>
      </c>
      <c r="J554">
        <f>(10^(AntA.-AntB./(AntC.+(H554-273.15)))*101325/760)</f>
        <v>9229.9945776290842</v>
      </c>
      <c r="K554">
        <f>(J554/(R.*H554)-G554)</f>
        <v>0.10212739858192776</v>
      </c>
      <c r="L554">
        <f>a.*kc./G.*K554</f>
        <v>8.7598214076332101E-2</v>
      </c>
      <c r="M554">
        <f>a.*h./(L.*Cpw.)*(H554-I554)+a.*lambda.*kc./(L.*Cpw.)*K554</f>
        <v>0.4993532749080834</v>
      </c>
      <c r="N554">
        <f>a.*kc./G.*(H554-I554)</f>
        <v>0.53069719522561098</v>
      </c>
    </row>
    <row r="555" spans="5:14" x14ac:dyDescent="0.25">
      <c r="E555">
        <v>553</v>
      </c>
      <c r="F555">
        <f>dz.*E555</f>
        <v>12.573629204886965</v>
      </c>
      <c r="G555">
        <f>G554+L554*dz.</f>
        <v>3.3968238830441533</v>
      </c>
      <c r="H555">
        <f>H554+M554*dz.</f>
        <v>317.47998318072405</v>
      </c>
      <c r="I555">
        <f>I554+N554*dz.</f>
        <v>316.86197634252835</v>
      </c>
      <c r="J555">
        <f>(10^(AntA.-AntB./(AntC.+(H555-273.15)))*101325/760)</f>
        <v>9235.409385465211</v>
      </c>
      <c r="K555">
        <f>(J555/(R.*H555)-G555)</f>
        <v>0.10206203729299501</v>
      </c>
      <c r="L555">
        <f>a.*kc./G.*K555</f>
        <v>8.7542151430462956E-2</v>
      </c>
      <c r="M555">
        <f>a.*h./(L.*Cpw.)*(H555-I555)+a.*lambda.*kc./(L.*Cpw.)*K555</f>
        <v>0.49899585350585612</v>
      </c>
      <c r="N555">
        <f>a.*kc./G.*(H555-I555)</f>
        <v>0.53008591293427554</v>
      </c>
    </row>
    <row r="556" spans="5:14" x14ac:dyDescent="0.25">
      <c r="E556">
        <v>554</v>
      </c>
      <c r="F556">
        <f>dz.*E556</f>
        <v>12.596366328223107</v>
      </c>
      <c r="G556">
        <f>G555+L555*dz.</f>
        <v>3.398814339738339</v>
      </c>
      <c r="H556">
        <f>H555+M555*dz.</f>
        <v>317.49132891098941</v>
      </c>
      <c r="I556">
        <f>I555+N555*dz.</f>
        <v>316.87402897130949</v>
      </c>
      <c r="J556">
        <f>(10^(AntA.-AntB./(AntC.+(H556-273.15)))*101325/760)</f>
        <v>9240.8230481781775</v>
      </c>
      <c r="K556">
        <f>(J556/(R.*H556)-G556)</f>
        <v>0.10199746871746074</v>
      </c>
      <c r="L556">
        <f>a.*kc./G.*K556</f>
        <v>8.7486768722386657E-2</v>
      </c>
      <c r="M556">
        <f>a.*h./(L.*Cpw.)*(H556-I556)+a.*lambda.*kc./(L.*Cpw.)*K556</f>
        <v>0.49864242392412678</v>
      </c>
      <c r="N556">
        <f>a.*kc./G.*(H556-I556)</f>
        <v>0.5294795815445138</v>
      </c>
    </row>
    <row r="557" spans="5:14" x14ac:dyDescent="0.25">
      <c r="E557">
        <v>555</v>
      </c>
      <c r="F557">
        <f>dz.*E557</f>
        <v>12.61910345155925</v>
      </c>
      <c r="G557">
        <f>G556+L556*dz.</f>
        <v>3.4008035371890606</v>
      </c>
      <c r="H557">
        <f>H556+M556*dz.</f>
        <v>317.5026666052828</v>
      </c>
      <c r="I557">
        <f>I556+N556*dz.</f>
        <v>316.88606781385903</v>
      </c>
      <c r="J557">
        <f>(10^(AntA.-AntB./(AntC.+(H557-273.15)))*101325/760)</f>
        <v>9246.2356043774307</v>
      </c>
      <c r="K557">
        <f>(J557/(R.*H557)-G557)</f>
        <v>0.10193369122010232</v>
      </c>
      <c r="L557">
        <f>a.*kc./G.*K557</f>
        <v>8.7432064549516006E-2</v>
      </c>
      <c r="M557">
        <f>a.*h./(L.*Cpw.)*(H557-I557)+a.*lambda.*kc./(L.*Cpw.)*K557</f>
        <v>0.49829297674571016</v>
      </c>
      <c r="N557">
        <f>a.*kc./G.*(H557-I557)</f>
        <v>0.52887818235198802</v>
      </c>
    </row>
    <row r="558" spans="5:14" x14ac:dyDescent="0.25">
      <c r="E558">
        <v>556</v>
      </c>
      <c r="F558">
        <f>dz.*E558</f>
        <v>12.641840574895392</v>
      </c>
      <c r="G558">
        <f>G557+L557*dz.</f>
        <v>3.4027914908242565</v>
      </c>
      <c r="H558">
        <f>H557+M557*dz.</f>
        <v>317.5139963541526</v>
      </c>
      <c r="I558">
        <f>I557+N557*dz.</f>
        <v>316.89809298232097</v>
      </c>
      <c r="J558">
        <f>(10^(AntA.-AntB./(AntC.+(H558-273.15)))*101325/760)</f>
        <v>9251.6470926571765</v>
      </c>
      <c r="K558">
        <f>(J558/(R.*H558)-G558)</f>
        <v>0.10187070318992841</v>
      </c>
      <c r="L558">
        <f>a.*kc./G.*K558</f>
        <v>8.7378037530047817E-2</v>
      </c>
      <c r="M558">
        <f>a.*h./(L.*Cpw.)*(H558-I558)+a.*lambda.*kc./(L.*Cpw.)*K558</f>
        <v>0.4979475026795776</v>
      </c>
      <c r="N558">
        <f>a.*kc./G.*(H558-I558)</f>
        <v>0.52828169683339343</v>
      </c>
    </row>
    <row r="559" spans="5:14" x14ac:dyDescent="0.25">
      <c r="E559">
        <v>557</v>
      </c>
      <c r="F559">
        <f>dz.*E559</f>
        <v>12.664577698231534</v>
      </c>
      <c r="G559">
        <f>G558+L558*dz.</f>
        <v>3.4047782160404472</v>
      </c>
      <c r="H559">
        <f>H558+M558*dz.</f>
        <v>317.52531824793596</v>
      </c>
      <c r="I559">
        <f>I558+N558*dz.</f>
        <v>316.91010458841811</v>
      </c>
      <c r="J559">
        <f>(10^(AntA.-AntB./(AntC.+(H559-273.15)))*101325/760)</f>
        <v>9257.0575515972687</v>
      </c>
      <c r="K559">
        <f>(J559/(R.*H559)-G559)</f>
        <v>0.10180850304002664</v>
      </c>
      <c r="L559">
        <f>a.*kc./G.*K559</f>
        <v>8.7324686302832299E-2</v>
      </c>
      <c r="M559">
        <f>a.*h./(L.*Cpw.)*(H559-I559)+a.*lambda.*kc./(L.*Cpw.)*K559</f>
        <v>0.49760599256009341</v>
      </c>
      <c r="N559">
        <f>a.*kc./G.*(H559-I559)</f>
        <v>0.52769010664553218</v>
      </c>
    </row>
    <row r="560" spans="5:14" x14ac:dyDescent="0.25">
      <c r="E560">
        <v>558</v>
      </c>
      <c r="F560">
        <f>dz.*E560</f>
        <v>12.687314821567679</v>
      </c>
      <c r="G560">
        <f>G559+L559*dz.</f>
        <v>3.4067637282032046</v>
      </c>
      <c r="H560">
        <f>H559+M559*dz.</f>
        <v>317.53663237676159</v>
      </c>
      <c r="I560">
        <f>I559+N559*dz.</f>
        <v>316.92210274345615</v>
      </c>
      <c r="J560">
        <f>(10^(AntA.-AntB./(AntC.+(H560-273.15)))*101325/760)</f>
        <v>9262.4670197644609</v>
      </c>
      <c r="K560">
        <f>(J560/(R.*H560)-G560)</f>
        <v>0.10174708920754716</v>
      </c>
      <c r="L560">
        <f>a.*kc./G.*K560</f>
        <v>8.7272009527358863E-2</v>
      </c>
      <c r="M560">
        <f>a.*h./(L.*Cpw.)*(H560-I560)+a.*lambda.*kc./(L.*Cpw.)*K560</f>
        <v>0.49726843734678317</v>
      </c>
      <c r="N560">
        <f>a.*kc./G.*(H560-I560)</f>
        <v>0.52710339362414271</v>
      </c>
    </row>
    <row r="561" spans="5:14" x14ac:dyDescent="0.25">
      <c r="E561">
        <v>559</v>
      </c>
      <c r="F561">
        <f>dz.*E561</f>
        <v>12.710051944903821</v>
      </c>
      <c r="G561">
        <f>G560+L560*dz.</f>
        <v>3.4087480426476211</v>
      </c>
      <c r="H561">
        <f>H560+M560*dz.</f>
        <v>317.54793883055271</v>
      </c>
      <c r="I561">
        <f>I560+N560*dz.</f>
        <v>316.93408755832786</v>
      </c>
      <c r="J561">
        <f>(10^(AntA.-AntB./(AntC.+(H561-273.15)))*101325/760)</f>
        <v>9267.8755357133286</v>
      </c>
      <c r="K561">
        <f>(J561/(R.*H561)-G561)</f>
        <v>0.1016864601535632</v>
      </c>
      <c r="L561">
        <f>a.*kc./G.*K561</f>
        <v>8.7220005883636639E-2</v>
      </c>
      <c r="M561">
        <f>a.*h./(L.*Cpw.)*(H561-I561)+a.*lambda.*kc./(L.*Cpw.)*K561</f>
        <v>0.49693482812361744</v>
      </c>
      <c r="N561">
        <f>a.*kc./G.*(H561-I561)</f>
        <v>0.52652153978292537</v>
      </c>
    </row>
    <row r="562" spans="5:14" x14ac:dyDescent="0.25">
      <c r="E562">
        <v>560</v>
      </c>
      <c r="F562">
        <f>dz.*E562</f>
        <v>12.732789068239963</v>
      </c>
      <c r="G562">
        <f>G561+L561*dz.</f>
        <v>3.4107311746787765</v>
      </c>
      <c r="H562">
        <f>H561+M561*dz.</f>
        <v>317.55923769902978</v>
      </c>
      <c r="I562">
        <f>I561+N561*dz.</f>
        <v>316.94605914351706</v>
      </c>
      <c r="J562">
        <f>(10^(AntA.-AntB./(AntC.+(H562-273.15)))*101325/760)</f>
        <v>9273.2831379873878</v>
      </c>
      <c r="K562">
        <f>(J562/(R.*H562)-G562)</f>
        <v>0.10162661436301157</v>
      </c>
      <c r="L562">
        <f>a.*kc./G.*K562</f>
        <v>8.7168674072143335E-2</v>
      </c>
      <c r="M562">
        <f>a.*h./(L.*Cpw.)*(H562-I562)+a.*lambda.*kc./(L.*Cpw.)*K562</f>
        <v>0.49660515609860745</v>
      </c>
      <c r="N562">
        <f>a.*kc./G.*(H562-I562)</f>
        <v>0.52594452731242058</v>
      </c>
    </row>
    <row r="563" spans="5:14" x14ac:dyDescent="0.25">
      <c r="E563">
        <v>561</v>
      </c>
      <c r="F563">
        <f>dz.*E563</f>
        <v>12.755526191576106</v>
      </c>
      <c r="G563">
        <f>G562+L562*dz.</f>
        <v>3.4127131395722028</v>
      </c>
      <c r="H563">
        <f>H562+M562*dz.</f>
        <v>317.57052907171334</v>
      </c>
      <c r="I563">
        <f>I562+N562*dz.</f>
        <v>316.95801760910251</v>
      </c>
      <c r="J563">
        <f>(10^(AntA.-AntB./(AntC.+(H563-273.15)))*101325/760)</f>
        <v>9278.6898651201082</v>
      </c>
      <c r="K563">
        <f>(J563/(R.*H563)-G563)</f>
        <v>0.10156755034458742</v>
      </c>
      <c r="L563">
        <f>a.*kc./G.*K563</f>
        <v>8.7118012813735032E-2</v>
      </c>
      <c r="M563">
        <f>a.*h./(L.*Cpw.)*(H563-I563)+a.*lambda.*kc./(L.*Cpw.)*K563</f>
        <v>0.49627941260324426</v>
      </c>
      <c r="N563">
        <f>a.*kc./G.*(H563-I563)</f>
        <v>0.52537233857913079</v>
      </c>
    </row>
    <row r="564" spans="5:14" x14ac:dyDescent="0.25">
      <c r="E564">
        <v>562</v>
      </c>
      <c r="F564">
        <f>dz.*E564</f>
        <v>12.77826331491225</v>
      </c>
      <c r="G564">
        <f>G563+L563*dz.</f>
        <v>3.4146939525743485</v>
      </c>
      <c r="H564">
        <f>H563+M563*dz.</f>
        <v>317.58181303792691</v>
      </c>
      <c r="I564">
        <f>I563+N563*dz.</f>
        <v>316.96996306476217</v>
      </c>
      <c r="J564">
        <f>(10^(AntA.-AntB./(AntC.+(H564-273.15)))*101325/760)</f>
        <v>9284.0957556360499</v>
      </c>
      <c r="K564">
        <f>(J564/(R.*H564)-G564)</f>
        <v>0.10150926663069448</v>
      </c>
      <c r="L564">
        <f>a.*kc./G.*K564</f>
        <v>8.7068020849603467E-2</v>
      </c>
      <c r="M564">
        <f>a.*h./(L.*Cpw.)*(H564-I564)+a.*lambda.*kc./(L.*Cpw.)*K564</f>
        <v>0.49595758909212884</v>
      </c>
      <c r="N564">
        <f>a.*kc./G.*(H564-I564)</f>
        <v>0.5248049561243513</v>
      </c>
    </row>
    <row r="565" spans="5:14" x14ac:dyDescent="0.25">
      <c r="E565">
        <v>563</v>
      </c>
      <c r="F565">
        <f>dz.*E565</f>
        <v>12.801000438248392</v>
      </c>
      <c r="G565">
        <f>G564+L564*dz.</f>
        <v>3.4166736289030397</v>
      </c>
      <c r="H565">
        <f>H564+M564*dz.</f>
        <v>317.5930896867996</v>
      </c>
      <c r="I565">
        <f>I564+N564*dz.</f>
        <v>316.98189561977699</v>
      </c>
      <c r="J565">
        <f>(10^(AntA.-AntB./(AntC.+(H565-273.15)))*101325/760)</f>
        <v>9289.5008480517899</v>
      </c>
      <c r="K565">
        <f>(J565/(R.*H565)-G565)</f>
        <v>0.10145176177731363</v>
      </c>
      <c r="L565">
        <f>a.*kc./G.*K565</f>
        <v>8.7018696941163334E-2</v>
      </c>
      <c r="M565">
        <f>a.*h./(L.*Cpw.)*(H565-I565)+a.*lambda.*kc./(L.*Cpw.)*K565</f>
        <v>0.49563967714228174</v>
      </c>
      <c r="N565">
        <f>a.*kc./G.*(H565-I565)</f>
        <v>0.52424236266314539</v>
      </c>
    </row>
    <row r="566" spans="5:14" x14ac:dyDescent="0.25">
      <c r="E566">
        <v>564</v>
      </c>
      <c r="F566">
        <f>dz.*E566</f>
        <v>12.823737561584535</v>
      </c>
      <c r="G566">
        <f>G565+L565*dz.</f>
        <v>3.4186521837479416</v>
      </c>
      <c r="H566">
        <f>H565+M565*dz.</f>
        <v>317.60435910726909</v>
      </c>
      <c r="I566">
        <f>I565+N565*dz.</f>
        <v>316.99381538303487</v>
      </c>
      <c r="J566">
        <f>(10^(AntA.-AntB./(AntC.+(H566-273.15)))*101325/760)</f>
        <v>9294.9051808771328</v>
      </c>
      <c r="K566">
        <f>(J566/(R.*H566)-G566)</f>
        <v>0.10139503436398201</v>
      </c>
      <c r="L566">
        <f>a.*kc./G.*K566</f>
        <v>8.6970039870034335E-2</v>
      </c>
      <c r="M566">
        <f>a.*h./(L.*Cpw.)*(H566-I566)+a.*lambda.*kc./(L.*Cpw.)*K566</f>
        <v>0.49532566845294079</v>
      </c>
      <c r="N566">
        <f>a.*kc./G.*(H566-I566)</f>
        <v>0.52368454108351636</v>
      </c>
    </row>
    <row r="567" spans="5:14" x14ac:dyDescent="0.25">
      <c r="E567">
        <v>565</v>
      </c>
      <c r="F567">
        <f>dz.*E567</f>
        <v>12.846474684920677</v>
      </c>
      <c r="G567">
        <f>G566+L566*dz.</f>
        <v>3.4206296322710159</v>
      </c>
      <c r="H567">
        <f>H566+M566*dz.</f>
        <v>317.61562138808426</v>
      </c>
      <c r="I567">
        <f>I566+N566*dz.</f>
        <v>317.00572246303472</v>
      </c>
      <c r="J567">
        <f>(10^(AntA.-AntB./(AntC.+(H567-273.15)))*101325/760)</f>
        <v>9300.3087926160042</v>
      </c>
      <c r="K567">
        <f>(J567/(R.*H567)-G567)</f>
        <v>0.10133908299364913</v>
      </c>
      <c r="L567">
        <f>a.*kc./G.*K567</f>
        <v>8.6922048437917801E-2</v>
      </c>
      <c r="M567">
        <f>a.*h./(L.*Cpw.)*(H567-I567)+a.*lambda.*kc./(L.*Cpw.)*K567</f>
        <v>0.49501555484479182</v>
      </c>
      <c r="N567">
        <f>a.*kc./G.*(H567-I567)</f>
        <v>0.52313147444518771</v>
      </c>
    </row>
    <row r="568" spans="5:14" x14ac:dyDescent="0.25">
      <c r="E568">
        <v>566</v>
      </c>
      <c r="F568">
        <f>dz.*E568</f>
        <v>12.86921180825682</v>
      </c>
      <c r="G568">
        <f>G567+L567*dz.</f>
        <v>3.4226059896069789</v>
      </c>
      <c r="H568">
        <f>H567+M567*dz.</f>
        <v>317.62687661780808</v>
      </c>
      <c r="I568">
        <f>I567+N567*dz.</f>
        <v>317.01761696789021</v>
      </c>
      <c r="J568">
        <f>(10^(AntA.-AntB./(AntC.+(H568-273.15)))*101325/760)</f>
        <v>9305.7117217676569</v>
      </c>
      <c r="K568">
        <f>(J568/(R.*H568)-G568)</f>
        <v>0.10128390629266182</v>
      </c>
      <c r="L568">
        <f>a.*kc./G.*K568</f>
        <v>8.6874721466583704E-2</v>
      </c>
      <c r="M568">
        <f>a.*h./(L.*Cpw.)*(H568-I568)+a.*lambda.*kc./(L.*Cpw.)*K568</f>
        <v>0.49470932825979708</v>
      </c>
      <c r="N568">
        <f>a.*kc./G.*(H568-I568)</f>
        <v>0.52258314597882383</v>
      </c>
    </row>
    <row r="569" spans="5:14" x14ac:dyDescent="0.25">
      <c r="E569">
        <v>567</v>
      </c>
      <c r="F569">
        <f>dz.*E569</f>
        <v>12.891948931592964</v>
      </c>
      <c r="G569">
        <f>G568+L568*dz.</f>
        <v>3.4245812708637575</v>
      </c>
      <c r="H569">
        <f>H568+M568*dz.</f>
        <v>317.63812488482029</v>
      </c>
      <c r="I569">
        <f>I568+N568*dz.</f>
        <v>317.02949900533372</v>
      </c>
      <c r="J569">
        <f>(10^(AntA.-AntB./(AntC.+(H569-273.15)))*101325/760)</f>
        <v>9311.1140068276582</v>
      </c>
      <c r="K569">
        <f>(J569/(R.*H569)-G569)</f>
        <v>0.10122950291065447</v>
      </c>
      <c r="L569">
        <f>a.*kc./G.*K569</f>
        <v>8.6828057797776623E-2</v>
      </c>
      <c r="M569">
        <f>a.*h./(L.*Cpw.)*(H569-I569)+a.*lambda.*kc./(L.*Cpw.)*K569</f>
        <v>0.49440698076059575</v>
      </c>
      <c r="N569">
        <f>a.*kc./G.*(H569-I569)</f>
        <v>0.52203953908500544</v>
      </c>
    </row>
    <row r="570" spans="5:14" x14ac:dyDescent="0.25">
      <c r="E570">
        <v>568</v>
      </c>
      <c r="F570">
        <f>dz.*E570</f>
        <v>12.914686054929106</v>
      </c>
      <c r="G570">
        <f>G569+L569*dz.</f>
        <v>3.4265554911229432</v>
      </c>
      <c r="H570">
        <f>H569+M569*dz.</f>
        <v>317.6493662773201</v>
      </c>
      <c r="I570">
        <f>I569+N569*dz.</f>
        <v>317.04136868272025</v>
      </c>
      <c r="J570">
        <f>(10^(AntA.-AntB./(AntC.+(H570-273.15)))*101325/760)</f>
        <v>9316.5156862889326</v>
      </c>
      <c r="K570">
        <f>(J570/(R.*H570)-G570)</f>
        <v>0.10117587152047758</v>
      </c>
      <c r="L570">
        <f>a.*kc./G.*K570</f>
        <v>8.6782056293154358E-2</v>
      </c>
      <c r="M570">
        <f>a.*h./(L.*Cpw.)*(H570-I570)+a.*lambda.*kc./(L.*Cpw.)*K570</f>
        <v>0.49410850453005684</v>
      </c>
      <c r="N570">
        <f>a.*kc./G.*(H570-I570)</f>
        <v>0.52150063733315766</v>
      </c>
    </row>
    <row r="571" spans="5:14" x14ac:dyDescent="0.25">
      <c r="E571">
        <v>569</v>
      </c>
      <c r="F571">
        <f>dz.*E571</f>
        <v>12.937423178265249</v>
      </c>
      <c r="G571">
        <f>G570+L570*dz.</f>
        <v>3.4285286654402447</v>
      </c>
      <c r="H571">
        <f>H570+M570*dz.</f>
        <v>317.66060088332904</v>
      </c>
      <c r="I571">
        <f>I570+N570*dz.</f>
        <v>317.05322610703115</v>
      </c>
      <c r="J571">
        <f>(10^(AntA.-AntB./(AntC.+(H571-273.15)))*101325/760)</f>
        <v>9321.9167986428565</v>
      </c>
      <c r="K571">
        <f>(J571/(R.*H571)-G571)</f>
        <v>0.10112301081813158</v>
      </c>
      <c r="L571">
        <f>a.*kc./G.*K571</f>
        <v>8.6736715834231218E-2</v>
      </c>
      <c r="M571">
        <f>a.*h./(L.*Cpw.)*(H571-I571)+a.*lambda.*kc./(L.*Cpw.)*K571</f>
        <v>0.49381389187089453</v>
      </c>
      <c r="N571">
        <f>a.*kc./G.*(H571-I571)</f>
        <v>0.52096642446076924</v>
      </c>
    </row>
    <row r="572" spans="5:14" x14ac:dyDescent="0.25">
      <c r="E572">
        <v>570</v>
      </c>
      <c r="F572">
        <f>dz.*E572</f>
        <v>12.960160301601391</v>
      </c>
      <c r="G572">
        <f>G571+L571*dz.</f>
        <v>3.4305008088459394</v>
      </c>
      <c r="H572">
        <f>H571+M571*dz.</f>
        <v>317.67182879069361</v>
      </c>
      <c r="I572">
        <f>I571+N571*dz.</f>
        <v>317.06507138487808</v>
      </c>
      <c r="J572">
        <f>(10^(AntA.-AntB./(AntC.+(H572-273.15)))*101325/760)</f>
        <v>9327.3173823803427</v>
      </c>
      <c r="K572">
        <f>(J572/(R.*H572)-G572)</f>
        <v>0.1010709195227113</v>
      </c>
      <c r="L572">
        <f>a.*kc./G.*K572</f>
        <v>8.6692035322330413E-2</v>
      </c>
      <c r="M572">
        <f>a.*h./(L.*Cpw.)*(H572-I572)+a.*lambda.*kc./(L.*Cpw.)*K572</f>
        <v>0.4935231352052879</v>
      </c>
      <c r="N572">
        <f>a.*kc./G.*(H572-I572)</f>
        <v>0.52043688437232027</v>
      </c>
    </row>
    <row r="573" spans="5:14" x14ac:dyDescent="0.25">
      <c r="E573">
        <v>571</v>
      </c>
      <c r="F573">
        <f>dz.*E573</f>
        <v>12.982897424937534</v>
      </c>
      <c r="G573">
        <f>G572+L572*dz.</f>
        <v>3.4324719363453244</v>
      </c>
      <c r="H573">
        <f>H572+M572*dz.</f>
        <v>317.68305008708802</v>
      </c>
      <c r="I573">
        <f>I572+N572*dz.</f>
        <v>317.07690462250673</v>
      </c>
      <c r="J573">
        <f>(10^(AntA.-AntB./(AntC.+(H573-273.15)))*101325/760)</f>
        <v>9332.7174759927839</v>
      </c>
      <c r="K573">
        <f>(J573/(R.*H573)-G573)</f>
        <v>0.1010195963762861</v>
      </c>
      <c r="L573">
        <f>a.*kc./G.*K573</f>
        <v>8.6648013678481142E-2</v>
      </c>
      <c r="M573">
        <f>a.*h./(L.*Cpw.)*(H573-I573)+a.*lambda.*kc./(L.*Cpw.)*K573</f>
        <v>0.4932362270742589</v>
      </c>
      <c r="N573">
        <f>a.*kc./G.*(H573-I573)</f>
        <v>0.51991200113840441</v>
      </c>
    </row>
    <row r="574" spans="5:14" x14ac:dyDescent="0.25">
      <c r="E574">
        <v>572</v>
      </c>
      <c r="F574">
        <f>dz.*E574</f>
        <v>13.005634548273678</v>
      </c>
      <c r="G574">
        <f>G573+L573*dz.</f>
        <v>3.4344420629191639</v>
      </c>
      <c r="H574">
        <f>H573+M573*dz.</f>
        <v>317.69426486001686</v>
      </c>
      <c r="I574">
        <f>I573+N573*dz.</f>
        <v>317.08872592580053</v>
      </c>
      <c r="J574">
        <f>(10^(AntA.-AntB./(AntC.+(H574-273.15)))*101325/760)</f>
        <v>9338.1171179732792</v>
      </c>
      <c r="K574">
        <f>(J574/(R.*H574)-G574)</f>
        <v>0.10096904014390029</v>
      </c>
      <c r="L574">
        <f>a.*kc./G.*K574</f>
        <v>8.6604649843419076E-2</v>
      </c>
      <c r="M574">
        <f>a.*h./(L.*Cpw.)*(H574-I574)+a.*lambda.*kc./(L.*Cpw.)*K574</f>
        <v>0.49295316013755219</v>
      </c>
      <c r="N574">
        <f>a.*kc./G.*(H574-I574)</f>
        <v>0.51939175899485157</v>
      </c>
    </row>
    <row r="575" spans="5:14" x14ac:dyDescent="0.25">
      <c r="E575">
        <v>573</v>
      </c>
      <c r="F575">
        <f>dz.*E575</f>
        <v>13.02837167160982</v>
      </c>
      <c r="G575">
        <f>G574+L574*dz.</f>
        <v>3.4364112035241372</v>
      </c>
      <c r="H575">
        <f>H574+M574*dz.</f>
        <v>317.70547319681782</v>
      </c>
      <c r="I575">
        <f>I574+N574*dz.</f>
        <v>317.10053540028457</v>
      </c>
      <c r="J575">
        <f>(10^(AntA.-AntB./(AntC.+(H575-273.15)))*101325/760)</f>
        <v>9343.5163468175942</v>
      </c>
      <c r="K575">
        <f>(J575/(R.*H575)-G575)</f>
        <v>0.10091924961346566</v>
      </c>
      <c r="L575">
        <f>a.*kc./G.*K575</f>
        <v>8.6561942777494072E-2</v>
      </c>
      <c r="M575">
        <f>a.*h./(L.*Cpw.)*(H575-I575)+a.*lambda.*kc./(L.*Cpw.)*K575</f>
        <v>0.49267392717304459</v>
      </c>
      <c r="N575">
        <f>a.*kc./G.*(H575-I575)</f>
        <v>0.51887614234170343</v>
      </c>
    </row>
    <row r="576" spans="5:14" x14ac:dyDescent="0.25">
      <c r="E576">
        <v>574</v>
      </c>
      <c r="F576">
        <f>dz.*E576</f>
        <v>13.051108794945963</v>
      </c>
      <c r="G576">
        <f>G575+L575*dz.</f>
        <v>3.438379373093285</v>
      </c>
      <c r="H576">
        <f>H575+M575*dz.</f>
        <v>317.71667518466444</v>
      </c>
      <c r="I576">
        <f>I575+N575*dz.</f>
        <v>317.11233315112918</v>
      </c>
      <c r="J576">
        <f>(10^(AntA.-AntB./(AntC.+(H576-273.15)))*101325/760)</f>
        <v>9348.9152010252164</v>
      </c>
      <c r="K576">
        <f>(J576/(R.*H576)-G576)</f>
        <v>0.10087022359569131</v>
      </c>
      <c r="L576">
        <f>a.*kc./G.*K576</f>
        <v>8.6519891460610079E-2</v>
      </c>
      <c r="M576">
        <f>a.*h./(L.*Cpw.)*(H576-I576)+a.*lambda.*kc./(L.*Cpw.)*K576</f>
        <v>0.49239852107635124</v>
      </c>
      <c r="N576">
        <f>a.*kc./G.*(H576-I576)</f>
        <v>0.51836513574248289</v>
      </c>
    </row>
    <row r="577" spans="5:14" x14ac:dyDescent="0.25">
      <c r="E577">
        <v>575</v>
      </c>
      <c r="F577">
        <f>dz.*E577</f>
        <v>13.073845918282105</v>
      </c>
      <c r="G577">
        <f>G576+L576*dz.</f>
        <v>3.4403465865364544</v>
      </c>
      <c r="H577">
        <f>H576+M576*dz.</f>
        <v>317.7278709105687</v>
      </c>
      <c r="I577">
        <f>I576+N576*dz.</f>
        <v>317.12411928315373</v>
      </c>
      <c r="J577">
        <f>(10^(AntA.-AntB./(AntC.+(H577-273.15)))*101325/760)</f>
        <v>9354.3137191004989</v>
      </c>
      <c r="K577">
        <f>(J577/(R.*H577)-G577)</f>
        <v>0.10082196092405438</v>
      </c>
      <c r="L577">
        <f>a.*kc./G.*K577</f>
        <v>8.6478494892199914E-2</v>
      </c>
      <c r="M577">
        <f>a.*h./(L.*Cpw.)*(H577-I577)+a.*lambda.*kc./(L.*Cpw.)*K577</f>
        <v>0.49212693486056053</v>
      </c>
      <c r="N577">
        <f>a.*kc./G.*(H577-I577)</f>
        <v>0.51785872392316956</v>
      </c>
    </row>
    <row r="578" spans="5:14" x14ac:dyDescent="0.25">
      <c r="E578">
        <v>576</v>
      </c>
      <c r="F578">
        <f>dz.*E578</f>
        <v>13.096583041618249</v>
      </c>
      <c r="G578">
        <f>G577+L577*dz.</f>
        <v>3.4423128587407423</v>
      </c>
      <c r="H578">
        <f>H577+M577*dz.</f>
        <v>317.73906046138364</v>
      </c>
      <c r="I578">
        <f>I577+N577*dz.</f>
        <v>317.1358939008303</v>
      </c>
      <c r="J578">
        <f>(10^(AntA.-AntB./(AntC.+(H578-273.15)))*101325/760)</f>
        <v>9359.7119395536301</v>
      </c>
      <c r="K578">
        <f>(J578/(R.*H578)-G578)</f>
        <v>0.10077446045469918</v>
      </c>
      <c r="L578">
        <f>a.*kc./G.*K578</f>
        <v>8.6437752091138895E-2</v>
      </c>
      <c r="M578">
        <f>a.*h./(L.*Cpw.)*(H578-I578)+a.*lambda.*kc./(L.*Cpw.)*K578</f>
        <v>0.49185916165569216</v>
      </c>
      <c r="N578">
        <f>a.*kc./G.*(H578-I578)</f>
        <v>0.51735689177132205</v>
      </c>
    </row>
    <row r="579" spans="5:14" x14ac:dyDescent="0.25">
      <c r="E579">
        <v>577</v>
      </c>
      <c r="F579">
        <f>dz.*E579</f>
        <v>13.119320164954392</v>
      </c>
      <c r="G579">
        <f>G578+L578*dz.</f>
        <v>3.4442782045709377</v>
      </c>
      <c r="H579">
        <f>H578+M578*dz.</f>
        <v>317.75024392380624</v>
      </c>
      <c r="I579">
        <f>I578+N578*dz.</f>
        <v>317.14765710828732</v>
      </c>
      <c r="J579">
        <f>(10^(AntA.-AntB./(AntC.+(H579-273.15)))*101325/760)</f>
        <v>9365.109900901798</v>
      </c>
      <c r="K579">
        <f>(J579/(R.*H579)-G579)</f>
        <v>0.10072772106641503</v>
      </c>
      <c r="L579">
        <f>a.*kc./G.*K579</f>
        <v>8.6397662095725705E-2</v>
      </c>
      <c r="M579">
        <f>a.*h./(L.*Cpw.)*(H579-I579)+a.*lambda.*kc./(L.*Cpw.)*K579</f>
        <v>0.49159519470850277</v>
      </c>
      <c r="N579">
        <f>a.*kc./G.*(H579-I579)</f>
        <v>0.51685962433534749</v>
      </c>
    </row>
    <row r="580" spans="5:14" x14ac:dyDescent="0.25">
      <c r="E580">
        <v>578</v>
      </c>
      <c r="F580">
        <f>dz.*E580</f>
        <v>13.142057288290534</v>
      </c>
      <c r="G580">
        <f>G579+L579*dz.</f>
        <v>3.4462426388699625</v>
      </c>
      <c r="H580">
        <f>H579+M579*dz.</f>
        <v>317.76142138437979</v>
      </c>
      <c r="I580">
        <f>I579+N579*dz.</f>
        <v>317.15940900931332</v>
      </c>
      <c r="J580">
        <f>(10^(AntA.-AntB./(AntC.+(H580-273.15)))*101325/760)</f>
        <v>9370.5076416701377</v>
      </c>
      <c r="K580">
        <f>(J580/(R.*H580)-G580)</f>
        <v>0.10068174166053367</v>
      </c>
      <c r="L580">
        <f>a.*kc./G.*K580</f>
        <v>8.6358223963594424E-2</v>
      </c>
      <c r="M580">
        <f>a.*h./(L.*Cpw.)*(H580-I580)+a.*lambda.*kc./(L.*Cpw.)*K580</f>
        <v>0.49133502738190898</v>
      </c>
      <c r="N580">
        <f>a.*kc./G.*(H580-I580)</f>
        <v>0.51636690682342767</v>
      </c>
    </row>
    <row r="581" spans="5:14" x14ac:dyDescent="0.25">
      <c r="E581">
        <v>579</v>
      </c>
      <c r="F581">
        <f>dz.*E581</f>
        <v>13.164794411626676</v>
      </c>
      <c r="G581">
        <f>G580+L580*dz.</f>
        <v>3.4482061764593128</v>
      </c>
      <c r="H581">
        <f>H580+M580*dz.</f>
        <v>317.77259292949674</v>
      </c>
      <c r="I581">
        <f>I580+N580*dz.</f>
        <v>317.17114970736048</v>
      </c>
      <c r="J581">
        <f>(10^(AntA.-AntB./(AntC.+(H581-273.15)))*101325/760)</f>
        <v>9375.9052003929592</v>
      </c>
      <c r="K581">
        <f>(J581/(R.*H581)-G581)</f>
        <v>0.10063652116092658</v>
      </c>
      <c r="L581">
        <f>a.*kc./G.*K581</f>
        <v>8.6319436771712291E-2</v>
      </c>
      <c r="M581">
        <f>a.*h./(L.*Cpw.)*(H581-I581)+a.*lambda.*kc./(L.*Cpw.)*K581</f>
        <v>0.49107865315488153</v>
      </c>
      <c r="N581">
        <f>a.*kc./G.*(H581-I581)</f>
        <v>0.51587872460283768</v>
      </c>
    </row>
    <row r="582" spans="5:14" x14ac:dyDescent="0.25">
      <c r="E582">
        <v>580</v>
      </c>
      <c r="F582">
        <f>dz.*E582</f>
        <v>13.187531534962819</v>
      </c>
      <c r="G582">
        <f>G581+L581*dz.</f>
        <v>3.4501688321394974</v>
      </c>
      <c r="H582">
        <f>H581+M581*dz.</f>
        <v>317.78375864540129</v>
      </c>
      <c r="I582">
        <f>I581+N581*dz.</f>
        <v>317.18287930554828</v>
      </c>
      <c r="J582">
        <f>(10^(AntA.-AntB./(AntC.+(H582-273.15)))*101325/760)</f>
        <v>9381.3026156146661</v>
      </c>
      <c r="K582">
        <f>(J582/(R.*H582)-G582)</f>
        <v>0.10059205851389663</v>
      </c>
      <c r="L582">
        <f>a.*kc./G.*K582</f>
        <v>8.6281299616286694E-2</v>
      </c>
      <c r="M582">
        <f>a.*h./(L.*Cpw.)*(H582-I582)+a.*lambda.*kc./(L.*Cpw.)*K582</f>
        <v>0.49082606562187131</v>
      </c>
      <c r="N582">
        <f>a.*kc./G.*(H582-I582)</f>
        <v>0.51539506319906714</v>
      </c>
    </row>
    <row r="583" spans="5:14" x14ac:dyDescent="0.25">
      <c r="E583">
        <v>581</v>
      </c>
      <c r="F583">
        <f>dz.*E583</f>
        <v>13.210268658298963</v>
      </c>
      <c r="G583">
        <f>G582+L582*dz.</f>
        <v>3.4521306206904758</v>
      </c>
      <c r="H583">
        <f>H582+M582*dz.</f>
        <v>317.79491861819196</v>
      </c>
      <c r="I583">
        <f>I582+N582*dz.</f>
        <v>317.19459790666707</v>
      </c>
      <c r="J583">
        <f>(10^(AntA.-AntB./(AntC.+(H583-273.15)))*101325/760)</f>
        <v>9386.6999258909273</v>
      </c>
      <c r="K583">
        <f>(J583/(R.*H583)-G583)</f>
        <v>0.10054835268815898</v>
      </c>
      <c r="L583">
        <f>a.*kc./G.*K583</f>
        <v>8.6243811612748855E-2</v>
      </c>
      <c r="M583">
        <f>a.*h./(L.*Cpw.)*(H583-I583)+a.*lambda.*kc./(L.*Cpw.)*K583</f>
        <v>0.49057725849260786</v>
      </c>
      <c r="N583">
        <f>a.*kc./G.*(H583-I583)</f>
        <v>0.51491590829494349</v>
      </c>
    </row>
    <row r="584" spans="5:14" x14ac:dyDescent="0.25">
      <c r="E584">
        <v>582</v>
      </c>
      <c r="F584">
        <f>dz.*E584</f>
        <v>13.233005781635105</v>
      </c>
      <c r="G584">
        <f>G583+L583*dz.</f>
        <v>3.4540915568720938</v>
      </c>
      <c r="H584">
        <f>H583+M583*dz.</f>
        <v>317.80607293382423</v>
      </c>
      <c r="I584">
        <f>I583+N583*dz.</f>
        <v>317.20630561318171</v>
      </c>
      <c r="J584">
        <f>(10^(AntA.-AntB./(AntC.+(H584-273.15)))*101325/760)</f>
        <v>9392.0971697896912</v>
      </c>
      <c r="K584">
        <f>(J584/(R.*H584)-G584)</f>
        <v>0.10050540267476737</v>
      </c>
      <c r="L584">
        <f>a.*kc./G.*K584</f>
        <v>8.6206971895690557E-2</v>
      </c>
      <c r="M584">
        <f>a.*h./(L.*Cpw.)*(H584-I584)+a.*lambda.*kc./(L.*Cpw.)*K584</f>
        <v>0.49033222559167672</v>
      </c>
      <c r="N584">
        <f>a.*kc./G.*(H584-I584)</f>
        <v>0.51444124572980277</v>
      </c>
    </row>
    <row r="585" spans="5:14" x14ac:dyDescent="0.25">
      <c r="E585">
        <v>583</v>
      </c>
      <c r="F585">
        <f>dz.*E585</f>
        <v>13.255742904971248</v>
      </c>
      <c r="G585">
        <f>G584+L584*dz.</f>
        <v>3.4560516554245213</v>
      </c>
      <c r="H585">
        <f>H584+M584*dz.</f>
        <v>317.81722167811319</v>
      </c>
      <c r="I585">
        <f>I584+N584*dz.</f>
        <v>317.21800252723506</v>
      </c>
      <c r="J585">
        <f>(10^(AntA.-AntB./(AntC.+(H585-273.15)))*101325/760)</f>
        <v>9397.494385892318</v>
      </c>
      <c r="K585">
        <f>(J585/(R.*H585)-G585)</f>
        <v>0.10046320748708126</v>
      </c>
      <c r="L585">
        <f>a.*kc./G.*K585</f>
        <v>8.617077961883593E-2</v>
      </c>
      <c r="M585">
        <f>a.*h./(L.*Cpw.)*(H585-I585)+a.*lambda.*kc./(L.*Cpw.)*K585</f>
        <v>0.49009096085828052</v>
      </c>
      <c r="N585">
        <f>a.*kc./G.*(H585-I585)</f>
        <v>0.51397106149875793</v>
      </c>
    </row>
    <row r="586" spans="5:14" x14ac:dyDescent="0.25">
      <c r="E586">
        <v>584</v>
      </c>
      <c r="F586">
        <f>dz.*E586</f>
        <v>13.27848002830739</v>
      </c>
      <c r="G586">
        <f>G585+L585*dz.</f>
        <v>3.4580109310686864</v>
      </c>
      <c r="H586">
        <f>H585+M585*dz.</f>
        <v>317.82836493673614</v>
      </c>
      <c r="I586">
        <f>I585+N585*dz.</f>
        <v>317.22968875065158</v>
      </c>
      <c r="J586">
        <f>(10^(AntA.-AntB./(AntC.+(H586-273.15)))*101325/760)</f>
        <v>9402.8916127945795</v>
      </c>
      <c r="K586">
        <f>(J586/(R.*H586)-G586)</f>
        <v>0.10042176616068943</v>
      </c>
      <c r="L586">
        <f>a.*kc./G.*K586</f>
        <v>8.6135233954976034E-2</v>
      </c>
      <c r="M586">
        <f>a.*h./(L.*Cpw.)*(H586-I586)+a.*lambda.*kc./(L.*Cpw.)*K586</f>
        <v>0.4898534583457988</v>
      </c>
      <c r="N586">
        <f>a.*kc./G.*(H586-I586)</f>
        <v>0.51350534175182205</v>
      </c>
    </row>
    <row r="587" spans="5:14" x14ac:dyDescent="0.25">
      <c r="E587">
        <v>585</v>
      </c>
      <c r="F587">
        <f>dz.*E587</f>
        <v>13.301217151643533</v>
      </c>
      <c r="G587">
        <f>G586+L586*dz.</f>
        <v>3.4599693985067081</v>
      </c>
      <c r="H587">
        <f>H586+M586*dz.</f>
        <v>317.83950279523521</v>
      </c>
      <c r="I587">
        <f>I586+N586*dz.</f>
        <v>317.24136438494077</v>
      </c>
      <c r="J587">
        <f>(10^(AntA.-AntB./(AntC.+(H587-273.15)))*101325/760)</f>
        <v>9408.2888891078474</v>
      </c>
      <c r="K587">
        <f>(J587/(R.*H587)-G587)</f>
        <v>0.10038107775340377</v>
      </c>
      <c r="L587">
        <f>a.*kc./G.*K587</f>
        <v>8.6100334095963418E-2</v>
      </c>
      <c r="M587">
        <f>a.*h./(L.*Cpw.)*(H587-I587)+a.*lambda.*kc./(L.*Cpw.)*K587</f>
        <v>0.48961971222166689</v>
      </c>
      <c r="N587">
        <f>a.*kc./G.*(H587-I587)</f>
        <v>0.51304407279322473</v>
      </c>
    </row>
    <row r="588" spans="5:14" x14ac:dyDescent="0.25">
      <c r="E588">
        <v>586</v>
      </c>
      <c r="F588">
        <f>dz.*E588</f>
        <v>13.323954274979677</v>
      </c>
      <c r="G588">
        <f>G587+L587*dz.</f>
        <v>3.461927072422331</v>
      </c>
      <c r="H588">
        <f>H587+M587*dz.</f>
        <v>317.85063533901979</v>
      </c>
      <c r="I588">
        <f>I587+N587*dz.</f>
        <v>317.25302953130074</v>
      </c>
      <c r="J588">
        <f>(10^(AntA.-AntB./(AntC.+(H588-273.15)))*101325/760)</f>
        <v>9413.6862534600514</v>
      </c>
      <c r="K588">
        <f>(J588/(R.*H588)-G588)</f>
        <v>0.10034114134515981</v>
      </c>
      <c r="L588">
        <f>a.*kc./G.*K588</f>
        <v>8.6066079252626868E-2</v>
      </c>
      <c r="M588">
        <f>a.*h./(L.*Cpw.)*(H588-I588)+a.*lambda.*kc./(L.*Cpw.)*K588</f>
        <v>0.48938971676682563</v>
      </c>
      <c r="N588">
        <f>a.*kc./G.*(H588-I588)</f>
        <v>0.51258724108043796</v>
      </c>
    </row>
    <row r="589" spans="5:14" x14ac:dyDescent="0.25">
      <c r="E589">
        <v>587</v>
      </c>
      <c r="F589">
        <f>dz.*E589</f>
        <v>13.346691398315819</v>
      </c>
      <c r="G589">
        <f>G588+L588*dz.</f>
        <v>3.4638839674813564</v>
      </c>
      <c r="H589">
        <f>H588+M588*dz.</f>
        <v>317.86176265336934</v>
      </c>
      <c r="I589">
        <f>I588+N588*dz.</f>
        <v>317.26468429062174</v>
      </c>
      <c r="J589">
        <f>(10^(AntA.-AntB./(AntC.+(H589-273.15)))*101325/760)</f>
        <v>9419.0837444968711</v>
      </c>
      <c r="K589">
        <f>(J589/(R.*H589)-G589)</f>
        <v>0.10030195603802206</v>
      </c>
      <c r="L589">
        <f>a.*kc./G.*K589</f>
        <v>8.6032468654775929E-2</v>
      </c>
      <c r="M589">
        <f>a.*h./(L.*Cpw.)*(H589-I589)+a.*lambda.*kc./(L.*Cpw.)*K589</f>
        <v>0.4891634663756555</v>
      </c>
      <c r="N589">
        <f>a.*kc./G.*(H589-I589)</f>
        <v>0.51213483322354159</v>
      </c>
    </row>
    <row r="590" spans="5:14" x14ac:dyDescent="0.25">
      <c r="E590">
        <v>588</v>
      </c>
      <c r="F590">
        <f>dz.*E590</f>
        <v>13.369428521651962</v>
      </c>
      <c r="G590">
        <f>G589+L589*dz.</f>
        <v>3.4658400983320727</v>
      </c>
      <c r="H590">
        <f>H589+M589*dz.</f>
        <v>317.87288482343587</v>
      </c>
      <c r="I590">
        <f>I589+N589*dz.</f>
        <v>317.27632876348946</v>
      </c>
      <c r="J590">
        <f>(10^(AntA.-AntB./(AntC.+(H590-273.15)))*101325/760)</f>
        <v>9424.4814008827325</v>
      </c>
      <c r="K590">
        <f>(J590/(R.*H590)-G590)</f>
        <v>0.10026352095609781</v>
      </c>
      <c r="L590">
        <f>a.*kc./G.*K590</f>
        <v>8.5999501551127039E-2</v>
      </c>
      <c r="M590">
        <f>a.*h./(L.*Cpw.)*(H590-I590)+a.*lambda.*kc./(L.*Cpw.)*K590</f>
        <v>0.48894095555552236</v>
      </c>
      <c r="N590">
        <f>a.*kc./G.*(H590-I590)</f>
        <v>0.51168683598454068</v>
      </c>
    </row>
    <row r="591" spans="5:14" x14ac:dyDescent="0.25">
      <c r="E591">
        <v>589</v>
      </c>
      <c r="F591">
        <f>dz.*E591</f>
        <v>13.392165644988104</v>
      </c>
      <c r="G591">
        <f>G590+L590*dz.</f>
        <v>3.4677954796056873</v>
      </c>
      <c r="H591">
        <f>H590+M590*dz.</f>
        <v>317.88400193424644</v>
      </c>
      <c r="I591">
        <f>I590+N590*dz.</f>
        <v>317.28796305018869</v>
      </c>
      <c r="J591">
        <f>(10^(AntA.-AntB./(AntC.+(H591-273.15)))*101325/760)</f>
        <v>9429.8792613019268</v>
      </c>
      <c r="K591">
        <f>(J591/(R.*H591)-G591)</f>
        <v>0.10022583524551143</v>
      </c>
      <c r="L591">
        <f>a.*kc./G.*K591</f>
        <v>8.5967177209281431E-2</v>
      </c>
      <c r="M591">
        <f>a.*h./(L.*Cpw.)*(H591-I591)+a.*lambda.*kc./(L.*Cpw.)*K591</f>
        <v>0.48872217892652781</v>
      </c>
      <c r="N591">
        <f>a.*kc./G.*(H591-I591)</f>
        <v>0.51124323627634249</v>
      </c>
    </row>
    <row r="592" spans="5:14" x14ac:dyDescent="0.25">
      <c r="E592">
        <v>590</v>
      </c>
      <c r="F592">
        <f>dz.*E592</f>
        <v>13.414902768324247</v>
      </c>
      <c r="G592">
        <f>G591+L591*dz.</f>
        <v>3.4697501259167547</v>
      </c>
      <c r="H592">
        <f>H591+M591*dz.</f>
        <v>317.8951140707058</v>
      </c>
      <c r="I592">
        <f>I591+N591*dz.</f>
        <v>317.29958725070668</v>
      </c>
      <c r="J592">
        <f>(10^(AntA.-AntB./(AntC.+(H592-273.15)))*101325/760)</f>
        <v>9435.277364459731</v>
      </c>
      <c r="K592">
        <f>(J592/(R.*H592)-G592)</f>
        <v>0.10018889807437503</v>
      </c>
      <c r="L592">
        <f>a.*kc./G.*K592</f>
        <v>8.5935494915700003E-2</v>
      </c>
      <c r="M592">
        <f>a.*h./(L.*Cpw.)*(H592-I592)+a.*lambda.*kc./(L.*Cpw.)*K592</f>
        <v>0.48850713122130551</v>
      </c>
      <c r="N592">
        <f>a.*kc./G.*(H592-I592)</f>
        <v>0.51080402116217016</v>
      </c>
    </row>
    <row r="593" spans="5:14" x14ac:dyDescent="0.25">
      <c r="E593">
        <v>591</v>
      </c>
      <c r="F593">
        <f>dz.*E593</f>
        <v>13.437639891660391</v>
      </c>
      <c r="G593">
        <f>G592+L592*dz.</f>
        <v>3.4717040518636053</v>
      </c>
      <c r="H593">
        <f>H592+M592*dz.</f>
        <v>317.90622131759898</v>
      </c>
      <c r="I593">
        <f>I592+N592*dz.</f>
        <v>317.31120146473643</v>
      </c>
      <c r="J593">
        <f>(10^(AntA.-AntB./(AntC.+(H593-273.15)))*101325/760)</f>
        <v>9440.6757490834298</v>
      </c>
      <c r="K593">
        <f>(J593/(R.*H593)-G593)</f>
        <v>0.10015270863272141</v>
      </c>
      <c r="L593">
        <f>a.*kc./G.*K593</f>
        <v>8.5904453975645764E-2</v>
      </c>
      <c r="M593">
        <f>a.*h./(L.*Cpw.)*(H593-I593)+a.*lambda.*kc./(L.*Cpw.)*K593</f>
        <v>0.48829580728465344</v>
      </c>
      <c r="N593">
        <f>a.*kc./G.*(H593-I593)</f>
        <v>0.51036917785492997</v>
      </c>
    </row>
    <row r="594" spans="5:14" x14ac:dyDescent="0.25">
      <c r="E594">
        <v>592</v>
      </c>
      <c r="F594">
        <f>dz.*E594</f>
        <v>13.460377014996533</v>
      </c>
      <c r="G594">
        <f>G593+L593*dz.</f>
        <v>3.4736572720287735</v>
      </c>
      <c r="H594">
        <f>H593+M593*dz.</f>
        <v>317.91732375959373</v>
      </c>
      <c r="I594">
        <f>I593+N593*dz.</f>
        <v>317.32280579168025</v>
      </c>
      <c r="J594">
        <f>(10^(AntA.-AntB./(AntC.+(H594-273.15)))*101325/760)</f>
        <v>9446.0744539234802</v>
      </c>
      <c r="K594">
        <f>(J594/(R.*H594)-G594)</f>
        <v>0.10011726613249339</v>
      </c>
      <c r="L594">
        <f>a.*kc./G.*K594</f>
        <v>8.5874053713174733E-2</v>
      </c>
      <c r="M594">
        <f>a.*h./(L.*Cpw.)*(H594-I594)+a.*lambda.*kc./(L.*Cpw.)*K594</f>
        <v>0.48808820207336057</v>
      </c>
      <c r="N594">
        <f>a.*kc./G.*(H594-I594)</f>
        <v>0.50993869371628431</v>
      </c>
    </row>
    <row r="595" spans="5:14" x14ac:dyDescent="0.25">
      <c r="E595">
        <v>593</v>
      </c>
      <c r="F595">
        <f>dz.*E595</f>
        <v>13.483114138332676</v>
      </c>
      <c r="G595">
        <f>G594+L594*dz.</f>
        <v>3.4756098009794245</v>
      </c>
      <c r="H595">
        <f>H594+M594*dz.</f>
        <v>317.92842148124316</v>
      </c>
      <c r="I595">
        <f>I594+N594*dz.</f>
        <v>317.33440033065312</v>
      </c>
      <c r="J595">
        <f>(10^(AntA.-AntB./(AntC.+(H595-273.15)))*101325/760)</f>
        <v>9451.473517754559</v>
      </c>
      <c r="K595">
        <f>(J595/(R.*H595)-G595)</f>
        <v>0.10008256980748964</v>
      </c>
      <c r="L595">
        <f>a.*kc./G.*K595</f>
        <v>8.5844293471089433E-2</v>
      </c>
      <c r="M595">
        <f>a.*h./(L.*Cpw.)*(H595-I595)+a.*lambda.*kc./(L.*Cpw.)*K595</f>
        <v>0.48788431065589277</v>
      </c>
      <c r="N595">
        <f>a.*kc./G.*(H595-I595)</f>
        <v>0.5095125562560181</v>
      </c>
    </row>
    <row r="596" spans="5:14" x14ac:dyDescent="0.25">
      <c r="E596">
        <v>594</v>
      </c>
      <c r="F596">
        <f>dz.*E596</f>
        <v>13.505851261668818</v>
      </c>
      <c r="G596">
        <f>G595+L595*dz.</f>
        <v>3.4775616532677809</v>
      </c>
      <c r="H596">
        <f>H595+M595*dz.</f>
        <v>317.93951456698829</v>
      </c>
      <c r="I596">
        <f>I595+N595*dz.</f>
        <v>317.34598518048603</v>
      </c>
      <c r="J596">
        <f>(10^(AntA.-AntB./(AntC.+(H596-273.15)))*101325/760)</f>
        <v>9456.8729793766288</v>
      </c>
      <c r="K596">
        <f>(J596/(R.*H596)-G596)</f>
        <v>0.10004861891331629</v>
      </c>
      <c r="L596">
        <f>a.*kc./G.*K596</f>
        <v>8.5815172610897397E-2</v>
      </c>
      <c r="M596">
        <f>a.*h./(L.*Cpw.)*(H596-I596)+a.*lambda.*kc./(L.*Cpw.)*K596</f>
        <v>0.4876841282120965</v>
      </c>
      <c r="N596">
        <f>a.*kc./G.*(H596-I596)</f>
        <v>0.50909075313135599</v>
      </c>
    </row>
    <row r="597" spans="5:14" x14ac:dyDescent="0.25">
      <c r="E597">
        <v>595</v>
      </c>
      <c r="F597">
        <f>dz.*E597</f>
        <v>13.528588385004962</v>
      </c>
      <c r="G597">
        <f>G596+L596*dz.</f>
        <v>3.4795128434315474</v>
      </c>
      <c r="H597">
        <f>H596+M596*dz.</f>
        <v>317.95060310116054</v>
      </c>
      <c r="I597">
        <f>I596+N596*dz.</f>
        <v>317.35756043972924</v>
      </c>
      <c r="J597">
        <f>(10^(AntA.-AntB./(AntC.+(H597-273.15)))*101325/760)</f>
        <v>9462.2728776161857</v>
      </c>
      <c r="K597">
        <f>(J597/(R.*H597)-G597)</f>
        <v>0.10001541272740821</v>
      </c>
      <c r="L597">
        <f>a.*kc./G.*K597</f>
        <v>8.5786690512829458E-2</v>
      </c>
      <c r="M597">
        <f>a.*h./(L.*Cpw.)*(H597-I597)+a.*lambda.*kc./(L.*Cpw.)*K597</f>
        <v>0.48748765003319172</v>
      </c>
      <c r="N597">
        <f>a.*kc./G.*(H597-I597)</f>
        <v>0.50867327214628011</v>
      </c>
    </row>
    <row r="598" spans="5:14" x14ac:dyDescent="0.25">
      <c r="E598">
        <v>596</v>
      </c>
      <c r="F598">
        <f>dz.*E598</f>
        <v>13.551325508341105</v>
      </c>
      <c r="G598">
        <f>G597+L597*dz.</f>
        <v>3.4814633859943371</v>
      </c>
      <c r="H598">
        <f>H597+M597*dz.</f>
        <v>317.96168716798417</v>
      </c>
      <c r="I598">
        <f>I597+N597*dz.</f>
        <v>317.36912620665584</v>
      </c>
      <c r="J598">
        <f>(10^(AntA.-AntB./(AntC.+(H598-273.15)))*101325/760)</f>
        <v>9467.6732513271327</v>
      </c>
      <c r="K598">
        <f>(J598/(R.*H598)-G598)</f>
        <v>9.9982950548913152E-2</v>
      </c>
      <c r="L598">
        <f>a.*kc./G.*K598</f>
        <v>8.5758846575740302E-2</v>
      </c>
      <c r="M598">
        <f>a.*h./(L.*Cpw.)*(H598-I598)+a.*lambda.*kc./(L.*Cpw.)*K598</f>
        <v>0.48729487152116779</v>
      </c>
      <c r="N598">
        <f>a.*kc./G.*(H598-I598)</f>
        <v>0.50826010125065224</v>
      </c>
    </row>
    <row r="599" spans="5:14" x14ac:dyDescent="0.25">
      <c r="E599">
        <v>597</v>
      </c>
      <c r="F599">
        <f>dz.*E599</f>
        <v>13.574062631677247</v>
      </c>
      <c r="G599">
        <f>G598+L598*dz.</f>
        <v>3.4834132954660952</v>
      </c>
      <c r="H599">
        <f>H598+M598*dz.</f>
        <v>317.97276685157902</v>
      </c>
      <c r="I599">
        <f>I598+N598*dz.</f>
        <v>317.38068257926483</v>
      </c>
      <c r="J599">
        <f>(10^(AntA.-AntB./(AntC.+(H599-273.15)))*101325/760)</f>
        <v>9473.0741393920616</v>
      </c>
      <c r="K599">
        <f>(J599/(R.*H599)-G599)</f>
        <v>9.9951231698721887E-2</v>
      </c>
      <c r="L599">
        <f>a.*kc./G.*K599</f>
        <v>8.5731640217134378E-2</v>
      </c>
      <c r="M599">
        <f>a.*h./(L.*Cpw.)*(H599-I599)+a.*lambda.*kc./(L.*Cpw.)*K599</f>
        <v>0.48710578818885403</v>
      </c>
      <c r="N599">
        <f>a.*kc./G.*(H599-I599)</f>
        <v>0.50785122853982356</v>
      </c>
    </row>
    <row r="600" spans="5:14" x14ac:dyDescent="0.25">
      <c r="E600">
        <v>598</v>
      </c>
      <c r="F600">
        <f>dz.*E600</f>
        <v>13.596799755013389</v>
      </c>
      <c r="G600">
        <f>G599+L599*dz.</f>
        <v>3.485362586343522</v>
      </c>
      <c r="H600">
        <f>H599+M599*dz.</f>
        <v>317.98384223596281</v>
      </c>
      <c r="I600">
        <f>I599+N599*dz.</f>
        <v>317.39222965528455</v>
      </c>
      <c r="J600">
        <f>(10^(AntA.-AntB./(AntC.+(H600-273.15)))*101325/760)</f>
        <v>9478.4755807232996</v>
      </c>
      <c r="K600">
        <f>(J600/(R.*H600)-G600)</f>
        <v>9.9920255519422962E-2</v>
      </c>
      <c r="L600">
        <f>a.*kc./G.*K600</f>
        <v>8.5705070873127079E-2</v>
      </c>
      <c r="M600">
        <f>a.*h./(L.*Cpw.)*(H600-I600)+a.*lambda.*kc./(L.*Cpw.)*K600</f>
        <v>0.48692039565960266</v>
      </c>
      <c r="N600">
        <f>a.*kc./G.*(H600-I600)</f>
        <v>0.50744664225370872</v>
      </c>
    </row>
    <row r="601" spans="5:14" x14ac:dyDescent="0.25">
      <c r="E601">
        <v>599</v>
      </c>
      <c r="F601">
        <f>dz.*E601</f>
        <v>13.619536878349532</v>
      </c>
      <c r="G601">
        <f>G600+L600*dz.</f>
        <v>3.4873112731104974</v>
      </c>
      <c r="H601">
        <f>H600+M600*dz.</f>
        <v>317.99491340505381</v>
      </c>
      <c r="I601">
        <f>I600+N600*dz.</f>
        <v>317.403767532176</v>
      </c>
      <c r="J601">
        <f>(10^(AntA.-AntB./(AntC.+(H601-273.15)))*101325/760)</f>
        <v>9483.8776142640218</v>
      </c>
      <c r="K601">
        <f>(J601/(R.*H601)-G601)</f>
        <v>9.9890021375267146E-2</v>
      </c>
      <c r="L601">
        <f>a.*kc./G.*K601</f>
        <v>8.5679137998414215E-2</v>
      </c>
      <c r="M601">
        <f>a.*h./(L.*Cpw.)*(H601-I601)+a.*lambda.*kc./(L.*Cpw.)*K601</f>
        <v>0.48673868966706579</v>
      </c>
      <c r="N601">
        <f>a.*kc./G.*(H601-I601)</f>
        <v>0.50704633077624917</v>
      </c>
    </row>
    <row r="602" spans="5:14" x14ac:dyDescent="0.25">
      <c r="E602">
        <v>600</v>
      </c>
      <c r="F602">
        <f>dz.*E602</f>
        <v>13.642274001685676</v>
      </c>
      <c r="G602">
        <f>G601+L601*dz.</f>
        <v>3.4892593702385017</v>
      </c>
      <c r="H602">
        <f>H601+M601*dz.</f>
        <v>318.00598044267326</v>
      </c>
      <c r="I602">
        <f>I601+N601*dz.</f>
        <v>317.41529630713597</v>
      </c>
      <c r="J602">
        <f>(10^(AntA.-AntB./(AntC.+(H602-273.15)))*101325/760)</f>
        <v>9489.280278989314</v>
      </c>
      <c r="K602">
        <f>(J602/(R.*H602)-G602)</f>
        <v>9.9860528652127911E-2</v>
      </c>
      <c r="L602">
        <f>a.*kc./G.*K602</f>
        <v>8.5653841066238162E-2</v>
      </c>
      <c r="M602">
        <f>a.*h./(L.*Cpw.)*(H602-I602)+a.*lambda.*kc./(L.*Cpw.)*K602</f>
        <v>0.48656066605494247</v>
      </c>
      <c r="N602">
        <f>a.*kc./G.*(H602-I602)</f>
        <v>0.50665028263477951</v>
      </c>
    </row>
    <row r="603" spans="5:14" x14ac:dyDescent="0.25">
      <c r="E603">
        <v>601</v>
      </c>
      <c r="F603">
        <f>dz.*E603</f>
        <v>13.665011125021818</v>
      </c>
      <c r="G603">
        <f>G602+L602*dz.</f>
        <v>3.4912068921870394</v>
      </c>
      <c r="H603">
        <f>H602+M602*dz.</f>
        <v>318.01704343254789</v>
      </c>
      <c r="I603">
        <f>I602+N602*dz.</f>
        <v>317.42681607710051</v>
      </c>
      <c r="J603">
        <f>(10^(AntA.-AntB./(AntC.+(H603-273.15)))*101325/760)</f>
        <v>9494.6836139074057</v>
      </c>
      <c r="K603">
        <f>(J603/(R.*H603)-G603)</f>
        <v>9.9831776757516977E-2</v>
      </c>
      <c r="L603">
        <f>a.*kc./G.*K603</f>
        <v>8.5629179568401131E-2</v>
      </c>
      <c r="M603">
        <f>a.*h./(L.*Cpw.)*(H603-I603)+a.*lambda.*kc./(L.*Cpw.)*K603</f>
        <v>0.48638632077692812</v>
      </c>
      <c r="N603">
        <f>a.*kc./G.*(H603-I603)</f>
        <v>0.50625848649919858</v>
      </c>
    </row>
    <row r="604" spans="5:14" x14ac:dyDescent="0.25">
      <c r="E604">
        <v>602</v>
      </c>
      <c r="F604">
        <f>dz.*E604</f>
        <v>13.687748248357961</v>
      </c>
      <c r="G604">
        <f>G603+L603*dz.</f>
        <v>3.4931538534040589</v>
      </c>
      <c r="H604">
        <f>H603+M603*dz.</f>
        <v>318.02810245831239</v>
      </c>
      <c r="I604">
        <f>I603+N603*dz.</f>
        <v>317.43832693874799</v>
      </c>
      <c r="J604">
        <f>(10^(AntA.-AntB./(AntC.+(H604-273.15)))*101325/760)</f>
        <v>9500.0876580606</v>
      </c>
      <c r="K604">
        <f>(J604/(R.*H604)-G604)</f>
        <v>9.9803765120490162E-2</v>
      </c>
      <c r="L604">
        <f>a.*kc./G.*K604</f>
        <v>8.5605153015184524E-2</v>
      </c>
      <c r="M604">
        <f>a.*h./(L.*Cpw.)*(H604-I604)+a.*lambda.*kc./(L.*Cpw.)*K604</f>
        <v>0.48621564989625432</v>
      </c>
      <c r="N604">
        <f>a.*kc./G.*(H604-I604)</f>
        <v>0.50587093118148174</v>
      </c>
    </row>
    <row r="605" spans="5:14" x14ac:dyDescent="0.25">
      <c r="E605">
        <v>603</v>
      </c>
      <c r="F605">
        <f>dz.*E605</f>
        <v>13.710485371694103</v>
      </c>
      <c r="G605">
        <f>G604+L604*dz.</f>
        <v>3.4951002683263748</v>
      </c>
      <c r="H605">
        <f>H604+M604*dz.</f>
        <v>318.03915760351202</v>
      </c>
      <c r="I605">
        <f>I604+N604*dz.</f>
        <v>317.44982898850242</v>
      </c>
      <c r="J605">
        <f>(10^(AntA.-AntB./(AntC.+(H605-273.15)))*101325/760)</f>
        <v>9505.4924505266226</v>
      </c>
      <c r="K605">
        <f>(J605/(R.*H605)-G605)</f>
        <v>9.9776493191710003E-2</v>
      </c>
      <c r="L605">
        <f>a.*kc./G.*K605</f>
        <v>8.5581760935402498E-2</v>
      </c>
      <c r="M605">
        <f>a.*h./(L.*Cpw.)*(H605-I605)+a.*lambda.*kc./(L.*Cpw.)*K605</f>
        <v>0.48604864958586819</v>
      </c>
      <c r="N605">
        <f>a.*kc./G.*(H605-I605)</f>
        <v>0.50548760563509609</v>
      </c>
    </row>
    <row r="606" spans="5:14" x14ac:dyDescent="0.25">
      <c r="E606">
        <v>604</v>
      </c>
      <c r="F606">
        <f>dz.*E606</f>
        <v>13.733222495030246</v>
      </c>
      <c r="G606">
        <f>G605+L605*dz.</f>
        <v>3.4970461513800872</v>
      </c>
      <c r="H606">
        <f>H605+M605*dz.</f>
        <v>318.05020895160504</v>
      </c>
      <c r="I606">
        <f>I605+N605*dz.</f>
        <v>317.46132232253666</v>
      </c>
      <c r="J606">
        <f>(10^(AntA.-AntB./(AntC.+(H606-273.15)))*101325/760)</f>
        <v>9510.8980304195575</v>
      </c>
      <c r="K606">
        <f>(J606/(R.*H606)-G606)</f>
        <v>9.9749960443352048E-2</v>
      </c>
      <c r="L606">
        <f>a.*kc./G.*K606</f>
        <v>8.5559002876321719E-2</v>
      </c>
      <c r="M606">
        <f>a.*h./(L.*Cpw.)*(H606-I606)+a.*lambda.*kc./(L.*Cpw.)*K606</f>
        <v>0.48588531612794039</v>
      </c>
      <c r="N606">
        <f>a.*kc./G.*(H606-I606)</f>
        <v>0.50510849895426868</v>
      </c>
    </row>
    <row r="607" spans="5:14" x14ac:dyDescent="0.25">
      <c r="E607">
        <v>605</v>
      </c>
      <c r="F607">
        <f>dz.*E607</f>
        <v>13.75595961836639</v>
      </c>
      <c r="G607">
        <f>G606+L606*dz.</f>
        <v>3.4989915169810035</v>
      </c>
      <c r="H607">
        <f>H606+M606*dz.</f>
        <v>318.06125658596505</v>
      </c>
      <c r="I607">
        <f>I606+N606*dz.</f>
        <v>317.47280703677552</v>
      </c>
      <c r="J607">
        <f>(10^(AntA.-AntB./(AntC.+(H607-273.15)))*101325/760)</f>
        <v>9516.3044368910541</v>
      </c>
      <c r="K607">
        <f>(J607/(R.*H607)-G607)</f>
        <v>9.9724166369118628E-2</v>
      </c>
      <c r="L607">
        <f>a.*kc./G.*K607</f>
        <v>8.5536878403673106E-2</v>
      </c>
      <c r="M607">
        <f>a.*h./(L.*Cpw.)*(H607-I607)+a.*lambda.*kc./(L.*Cpw.)*K607</f>
        <v>0.48572564591384049</v>
      </c>
      <c r="N607">
        <f>a.*kc./G.*(H607-I607)</f>
        <v>0.5047336003734022</v>
      </c>
    </row>
    <row r="608" spans="5:14" x14ac:dyDescent="0.25">
      <c r="E608">
        <v>606</v>
      </c>
      <c r="F608">
        <f>dz.*E608</f>
        <v>13.778696741702532</v>
      </c>
      <c r="G608">
        <f>G607+L607*dz.</f>
        <v>3.5009363795350565</v>
      </c>
      <c r="H608">
        <f>H607+M607*dz.</f>
        <v>318.07230058988375</v>
      </c>
      <c r="I608">
        <f>I607+N607*dz.</f>
        <v>317.48428322689909</v>
      </c>
      <c r="J608">
        <f>(10^(AntA.-AntB./(AntC.+(H608-273.15)))*101325/760)</f>
        <v>9521.7117091314503</v>
      </c>
      <c r="K608">
        <f>(J608/(R.*H608)-G608)</f>
        <v>9.9699110484213982E-2</v>
      </c>
      <c r="L608">
        <f>a.*kc./G.*K608</f>
        <v>8.5515387101630508E-2</v>
      </c>
      <c r="M608">
        <f>a.*h./(L.*Cpw.)*(H608-I608)+a.*lambda.*kc./(L.*Cpw.)*K608</f>
        <v>0.48556963544395909</v>
      </c>
      <c r="N608">
        <f>a.*kc./G.*(H608-I608)</f>
        <v>0.50436289926653755</v>
      </c>
    </row>
    <row r="609" spans="5:14" x14ac:dyDescent="0.25">
      <c r="E609">
        <v>607</v>
      </c>
      <c r="F609">
        <f>dz.*E609</f>
        <v>13.801433865038675</v>
      </c>
      <c r="G609">
        <f>G608+L608*dz.</f>
        <v>3.5028807534387245</v>
      </c>
      <c r="H609">
        <f>H608+M608*dz.</f>
        <v>318.08334104657314</v>
      </c>
      <c r="I609">
        <f>I608+N608*dz.</f>
        <v>317.49575098834589</v>
      </c>
      <c r="J609">
        <f>(10^(AntA.-AntB./(AntC.+(H609-273.15)))*101325/760)</f>
        <v>9527.1198863708669</v>
      </c>
      <c r="K609">
        <f>(J609/(R.*H609)-G609)</f>
        <v>9.9674792325313177E-2</v>
      </c>
      <c r="L609">
        <f>a.*kc./G.*K609</f>
        <v>8.5494528572784043E-2</v>
      </c>
      <c r="M609">
        <f>a.*h./(L.*Cpw.)*(H609-I609)+a.*lambda.*kc./(L.*Cpw.)*K609</f>
        <v>0.48541728132746959</v>
      </c>
      <c r="N609">
        <f>a.*kc./G.*(H609-I609)</f>
        <v>0.50399638514657485</v>
      </c>
    </row>
    <row r="610" spans="5:14" x14ac:dyDescent="0.25">
      <c r="E610">
        <v>608</v>
      </c>
      <c r="F610">
        <f>dz.*E610</f>
        <v>13.824170988374817</v>
      </c>
      <c r="G610">
        <f>G609+L609*dz.</f>
        <v>3.5048246530794493</v>
      </c>
      <c r="H610">
        <f>H609+M609*dz.</f>
        <v>318.09437803916819</v>
      </c>
      <c r="I610">
        <f>I609+N609*dz.</f>
        <v>317.50721041631596</v>
      </c>
      <c r="J610">
        <f>(10^(AntA.-AntB./(AntC.+(H610-273.15)))*101325/760)</f>
        <v>9532.5290078803773</v>
      </c>
      <c r="K610">
        <f>(J610/(R.*H610)-G610)</f>
        <v>9.9651211450558996E-2</v>
      </c>
      <c r="L610">
        <f>a.*kc./G.*K610</f>
        <v>8.5474302438137459E-2</v>
      </c>
      <c r="M610">
        <f>a.*h./(L.*Cpw.)*(H610-I610)+a.*lambda.*kc./(L.*Cpw.)*K610</f>
        <v>0.48526858028226066</v>
      </c>
      <c r="N610">
        <f>a.*kc./G.*(H610-I610)</f>
        <v>0.50363404766488273</v>
      </c>
    </row>
    <row r="611" spans="5:14" x14ac:dyDescent="0.25">
      <c r="E611">
        <v>609</v>
      </c>
      <c r="F611">
        <f>dz.*E611</f>
        <v>13.84690811171096</v>
      </c>
      <c r="G611">
        <f>G610+L610*dz.</f>
        <v>3.5067680928360558</v>
      </c>
      <c r="H611">
        <f>H610+M610*dz.</f>
        <v>318.10541165072925</v>
      </c>
      <c r="I611">
        <f>I610+N610*dz.</f>
        <v>317.51866160577401</v>
      </c>
      <c r="J611">
        <f>(10^(AntA.-AntB./(AntC.+(H611-273.15)))*101325/760)</f>
        <v>9537.9391129731539</v>
      </c>
      <c r="K611">
        <f>(J611/(R.*H611)-G611)</f>
        <v>9.962836743955128E-2</v>
      </c>
      <c r="L611">
        <f>a.*kc./G.*K611</f>
        <v>8.5454708337098936E-2</v>
      </c>
      <c r="M611">
        <f>a.*h./(L.*Cpw.)*(H611-I611)+a.*lambda.*kc./(L.*Cpw.)*K611</f>
        <v>0.48512352913480394</v>
      </c>
      <c r="N611">
        <f>a.*kc./G.*(H611-I611)</f>
        <v>0.50327587661066453</v>
      </c>
    </row>
    <row r="612" spans="5:14" x14ac:dyDescent="0.25">
      <c r="E612">
        <v>610</v>
      </c>
      <c r="F612">
        <f>dz.*E612</f>
        <v>13.869645235047104</v>
      </c>
      <c r="G612">
        <f>G611+L611*dz.</f>
        <v>3.5087110870791705</v>
      </c>
      <c r="H612">
        <f>H611+M611*dz.</f>
        <v>318.11644196424447</v>
      </c>
      <c r="I612">
        <f>I611+N611*dz.</f>
        <v>317.53010465145263</v>
      </c>
      <c r="J612">
        <f>(10^(AntA.-AntB./(AntC.+(H612-273.15)))*101325/760)</f>
        <v>9543.3502410055789</v>
      </c>
      <c r="K612">
        <f>(J612/(R.*H612)-G612)</f>
        <v>9.9606259893317173E-2</v>
      </c>
      <c r="L612">
        <f>a.*kc./G.*K612</f>
        <v>8.5435745927455606E-2</v>
      </c>
      <c r="M612">
        <f>a.*h./(L.*Cpw.)*(H612-I612)+a.*lambda.*kc./(L.*Cpw.)*K612</f>
        <v>0.48498212481994157</v>
      </c>
      <c r="N612">
        <f>a.*kc./G.*(H612-I612)</f>
        <v>0.50292186191032473</v>
      </c>
    </row>
    <row r="613" spans="5:14" x14ac:dyDescent="0.25">
      <c r="E613">
        <v>611</v>
      </c>
      <c r="F613">
        <f>dz.*E613</f>
        <v>13.892382358383246</v>
      </c>
      <c r="G613">
        <f>G612+L612*dz.</f>
        <v>3.5106536501716383</v>
      </c>
      <c r="H613">
        <f>H612+M612*dz.</f>
        <v>318.12746906263231</v>
      </c>
      <c r="I613">
        <f>I612+N612*dz.</f>
        <v>317.5415396478553</v>
      </c>
      <c r="J613">
        <f>(10^(AntA.-AntB./(AntC.+(H613-273.15)))*101325/760)</f>
        <v>9548.7624313783635</v>
      </c>
      <c r="K613">
        <f>(J613/(R.*H613)-G613)</f>
        <v>9.9584888434293806E-2</v>
      </c>
      <c r="L613">
        <f>a.*kc./G.*K613</f>
        <v>8.54174148853587E-2</v>
      </c>
      <c r="M613">
        <f>a.*h./(L.*Cpw.)*(H613-I613)+a.*lambda.*kc./(L.*Cpw.)*K613</f>
        <v>0.48484436438074602</v>
      </c>
      <c r="N613">
        <f>a.*kc./G.*(H613-I613)</f>
        <v>0.50257199362698113</v>
      </c>
    </row>
    <row r="614" spans="5:14" x14ac:dyDescent="0.25">
      <c r="E614">
        <v>612</v>
      </c>
      <c r="F614">
        <f>dz.*E614</f>
        <v>13.915119481719389</v>
      </c>
      <c r="G614">
        <f>G613+L613*dz.</f>
        <v>3.5125957964689412</v>
      </c>
      <c r="H614">
        <f>H613+M613*dz.</f>
        <v>318.13849302874405</v>
      </c>
      <c r="I614">
        <f>I613+N613*dz.</f>
        <v>317.55296668925968</v>
      </c>
      <c r="J614">
        <f>(10^(AntA.-AntB./(AntC.+(H614-273.15)))*101325/760)</f>
        <v>9554.1757235378063</v>
      </c>
      <c r="K614">
        <f>(J614/(R.*H614)-G614)</f>
        <v>9.9564252706354495E-2</v>
      </c>
      <c r="L614">
        <f>a.*kc./G.*K614</f>
        <v>8.5399714905346008E-2</v>
      </c>
      <c r="M614">
        <f>a.*h./(L.*Cpw.)*(H614-I614)+a.*lambda.*kc./(L.*Cpw.)*K614</f>
        <v>0.48471024496854115</v>
      </c>
      <c r="N614">
        <f>a.*kc./G.*(H614-I614)</f>
        <v>0.50222626195983122</v>
      </c>
    </row>
    <row r="615" spans="5:14" x14ac:dyDescent="0.25">
      <c r="E615">
        <v>613</v>
      </c>
      <c r="F615">
        <f>dz.*E615</f>
        <v>13.937856605055531</v>
      </c>
      <c r="G615">
        <f>G614+L614*dz.</f>
        <v>3.5145375403196155</v>
      </c>
      <c r="H615">
        <f>H614+M614*dz.</f>
        <v>318.14951394536621</v>
      </c>
      <c r="I615">
        <f>I614+N614*dz.</f>
        <v>317.56438586972052</v>
      </c>
      <c r="J615">
        <f>(10^(AntA.-AntB./(AntC.+(H615-273.15)))*101325/760)</f>
        <v>9559.5901569768448</v>
      </c>
      <c r="K615">
        <f>(J615/(R.*H615)-G615)</f>
        <v>9.9544352374765666E-2</v>
      </c>
      <c r="L615">
        <f>a.*kc./G.*K615</f>
        <v>8.5382645700304918E-2</v>
      </c>
      <c r="M615">
        <f>a.*h./(L.*Cpw.)*(H615-I615)+a.*lambda.*kc./(L.*Cpw.)*K615</f>
        <v>0.48457976384266177</v>
      </c>
      <c r="N615">
        <f>a.*kc./G.*(H615-I615)</f>
        <v>0.50188465724371334</v>
      </c>
    </row>
    <row r="616" spans="5:14" x14ac:dyDescent="0.25">
      <c r="E616">
        <v>614</v>
      </c>
      <c r="F616">
        <f>dz.*E616</f>
        <v>13.960593728391675</v>
      </c>
      <c r="G616">
        <f>G615+L615*dz.</f>
        <v>3.5164788960656694</v>
      </c>
      <c r="H616">
        <f>H615+M615*dz.</f>
        <v>318.1605318952229</v>
      </c>
      <c r="I616">
        <f>I615+N615*dz.</f>
        <v>317.5757972830728</v>
      </c>
      <c r="J616">
        <f>(10^(AntA.-AntB./(AntC.+(H616-273.15)))*101325/760)</f>
        <v>9565.0057712361959</v>
      </c>
      <c r="K616">
        <f>(J616/(R.*H616)-G616)</f>
        <v>9.9525187126167758E-2</v>
      </c>
      <c r="L616">
        <f>a.*kc./G.*K616</f>
        <v>8.5366207001456057E-2</v>
      </c>
      <c r="M616">
        <f>a.*h./(L.*Cpw.)*(H616-I616)+a.*lambda.*kc./(L.*Cpw.)*K616</f>
        <v>0.48445291837028542</v>
      </c>
      <c r="N616">
        <f>a.*kc./G.*(H616-I616)</f>
        <v>0.50154716994847259</v>
      </c>
    </row>
    <row r="617" spans="5:14" x14ac:dyDescent="0.25">
      <c r="E617">
        <v>615</v>
      </c>
      <c r="F617">
        <f>dz.*E617</f>
        <v>13.983330851727818</v>
      </c>
      <c r="G617">
        <f>G616+L616*dz.</f>
        <v>3.5184198780430003</v>
      </c>
      <c r="H617">
        <f>H616+M616*dz.</f>
        <v>318.17154696097845</v>
      </c>
      <c r="I617">
        <f>I616+N616*dz.</f>
        <v>317.58720102293483</v>
      </c>
      <c r="J617">
        <f>(10^(AntA.-AntB./(AntC.+(H617-273.15)))*101325/760)</f>
        <v>9570.4226059055563</v>
      </c>
      <c r="K617">
        <f>(J617/(R.*H617)-G617)</f>
        <v>9.9506756668585883E-2</v>
      </c>
      <c r="L617">
        <f>a.*kc./G.*K617</f>
        <v>8.5350398558362434E-2</v>
      </c>
      <c r="M617">
        <f>a.*h./(L.*Cpw.)*(H617-I617)+a.*lambda.*kc./(L.*Cpw.)*K617</f>
        <v>0.48432970602640912</v>
      </c>
      <c r="N617">
        <f>a.*kc./G.*(H617-I617)</f>
        <v>0.5012137906784736</v>
      </c>
    </row>
    <row r="618" spans="5:14" x14ac:dyDescent="0.25">
      <c r="E618">
        <v>616</v>
      </c>
      <c r="F618">
        <f>dz.*E618</f>
        <v>14.00606797506396</v>
      </c>
      <c r="G618">
        <f>G617+L617*dz.</f>
        <v>3.5203605005818108</v>
      </c>
      <c r="H618">
        <f>H617+M617*dz.</f>
        <v>318.18255922523974</v>
      </c>
      <c r="I618">
        <f>I617+N617*dz.</f>
        <v>317.59859718271127</v>
      </c>
      <c r="J618">
        <f>(10^(AntA.-AntB./(AntC.+(H618-273.15)))*101325/760)</f>
        <v>9575.8407006248381</v>
      </c>
      <c r="K618">
        <f>(J618/(R.*H618)-G618)</f>
        <v>9.9489060731453804E-2</v>
      </c>
      <c r="L618">
        <f>a.*kc./G.*K618</f>
        <v>8.5335220138950008E-2</v>
      </c>
      <c r="M618">
        <f>a.*h./(L.*Cpw.)*(H618-I618)+a.*lambda.*kc./(L.*Cpw.)*K618</f>
        <v>0.48421012439388134</v>
      </c>
      <c r="N618">
        <f>a.*kc./G.*(H618-I618)</f>
        <v>0.50088451017211266</v>
      </c>
    </row>
    <row r="619" spans="5:14" x14ac:dyDescent="0.25">
      <c r="E619">
        <v>617</v>
      </c>
      <c r="F619">
        <f>dz.*E619</f>
        <v>14.028805098400102</v>
      </c>
      <c r="G619">
        <f>G618+L618*dz.</f>
        <v>3.5223007780070272</v>
      </c>
      <c r="H619">
        <f>H618+M618*dz.</f>
        <v>318.19356877055867</v>
      </c>
      <c r="I619">
        <f>I618+N618*dz.</f>
        <v>317.60998585559622</v>
      </c>
      <c r="J619">
        <f>(10^(AntA.-AntB./(AntC.+(H619-273.15)))*101325/760)</f>
        <v>9581.260095085152</v>
      </c>
      <c r="K619">
        <f>(J619/(R.*H619)-G619)</f>
        <v>9.947209906553578E-2</v>
      </c>
      <c r="L619">
        <f>a.*kc./G.*K619</f>
        <v>8.5320671529440617E-2</v>
      </c>
      <c r="M619">
        <f>a.*h./(L.*Cpw.)*(H619-I619)+a.*lambda.*kc./(L.*Cpw.)*K619</f>
        <v>0.48409417116298797</v>
      </c>
      <c r="N619">
        <f>a.*kc./G.*(H619-I619)</f>
        <v>0.50055931930118436</v>
      </c>
    </row>
    <row r="620" spans="5:14" x14ac:dyDescent="0.25">
      <c r="E620">
        <v>618</v>
      </c>
      <c r="F620">
        <f>dz.*E620</f>
        <v>14.051542221736245</v>
      </c>
      <c r="G620">
        <f>G619+L619*dz.</f>
        <v>3.5242407246387146</v>
      </c>
      <c r="H620">
        <f>H619+M619*dz.</f>
        <v>318.2045756794347</v>
      </c>
      <c r="I620">
        <f>I619+N619*dz.</f>
        <v>317.62136713457625</v>
      </c>
      <c r="J620">
        <f>(10^(AntA.-AntB./(AntC.+(H620-273.15)))*101325/760)</f>
        <v>9586.6808290301396</v>
      </c>
      <c r="K620">
        <f>(J620/(R.*H620)-G620)</f>
        <v>9.9455871442988286E-2</v>
      </c>
      <c r="L620">
        <f>a.*kc./G.*K620</f>
        <v>8.5306752534404964E-2</v>
      </c>
      <c r="M620">
        <f>a.*h./(L.*Cpw.)*(H620-I620)+a.*lambda.*kc./(L.*Cpw.)*K620</f>
        <v>0.48398184413166218</v>
      </c>
      <c r="N620">
        <f>a.*kc./G.*(H620-I620)</f>
        <v>0.50023820907053951</v>
      </c>
    </row>
    <row r="621" spans="5:14" x14ac:dyDescent="0.25">
      <c r="E621">
        <v>619</v>
      </c>
      <c r="F621">
        <f>dz.*E621</f>
        <v>14.074279345072389</v>
      </c>
      <c r="G621">
        <f>G620+L620*dz.</f>
        <v>3.526180354792495</v>
      </c>
      <c r="H621">
        <f>H620+M620*dz.</f>
        <v>318.21558003431716</v>
      </c>
      <c r="I621">
        <f>I620+N620*dz.</f>
        <v>317.63274111243334</v>
      </c>
      <c r="J621">
        <f>(10^(AntA.-AntB./(AntC.+(H621-273.15)))*101325/760)</f>
        <v>9592.1029422571046</v>
      </c>
      <c r="K621">
        <f>(J621/(R.*H621)-G621)</f>
        <v>9.9440377657339596E-2</v>
      </c>
      <c r="L621">
        <f>a.*kc./G.*K621</f>
        <v>8.5293462976745102E-2</v>
      </c>
      <c r="M621">
        <f>a.*h./(L.*Cpw.)*(H621-I621)+a.*lambda.*kc./(L.*Cpw.)*K621</f>
        <v>0.48387314120531755</v>
      </c>
      <c r="N621">
        <f>a.*kc./G.*(H621-I621)</f>
        <v>0.49992117061750102</v>
      </c>
    </row>
    <row r="622" spans="5:14" x14ac:dyDescent="0.25">
      <c r="E622">
        <v>620</v>
      </c>
      <c r="F622">
        <f>dz.*E622</f>
        <v>14.097016468408532</v>
      </c>
      <c r="G622">
        <f>G621+L621*dz.</f>
        <v>3.5281196827799639</v>
      </c>
      <c r="H622">
        <f>H621+M621*dz.</f>
        <v>318.2265819176078</v>
      </c>
      <c r="I622">
        <f>I621+N621*dz.</f>
        <v>317.64410788174803</v>
      </c>
      <c r="J622">
        <f>(10^(AntA.-AntB./(AntC.+(H622-273.15)))*101325/760)</f>
        <v>9597.5264746181747</v>
      </c>
      <c r="K622">
        <f>(J622/(R.*H622)-G622)</f>
        <v>9.9425617523483112E-2</v>
      </c>
      <c r="L622">
        <f>a.*kc./G.*K622</f>
        <v>8.528080269768866E-2</v>
      </c>
      <c r="M622">
        <f>a.*h./(L.*Cpw.)*(H622-I622)+a.*lambda.*kc./(L.*Cpw.)*K622</f>
        <v>0.48376806039675257</v>
      </c>
      <c r="N622">
        <f>a.*kc./G.*(H622-I622)</f>
        <v>0.49960819521137551</v>
      </c>
    </row>
    <row r="623" spans="5:14" x14ac:dyDescent="0.25">
      <c r="E623">
        <v>621</v>
      </c>
      <c r="F623">
        <f>dz.*E623</f>
        <v>14.119753591744674</v>
      </c>
      <c r="G623">
        <f>G622+L622*dz.</f>
        <v>3.5300587229091067</v>
      </c>
      <c r="H623">
        <f>H622+M622*dz.</f>
        <v>318.23758141166314</v>
      </c>
      <c r="I623">
        <f>I622+N622*dz.</f>
        <v>317.6554675349023</v>
      </c>
      <c r="J623">
        <f>(10^(AntA.-AntB./(AntC.+(H623-273.15)))*101325/760)</f>
        <v>9602.9514660214354</v>
      </c>
      <c r="K623">
        <f>(J623/(R.*H623)-G623)</f>
        <v>9.9411590877660494E-2</v>
      </c>
      <c r="L623">
        <f>a.*kc./G.*K623</f>
        <v>8.5268771556774439E-2</v>
      </c>
      <c r="M623">
        <f>a.*h./(L.*Cpw.)*(H623-I623)+a.*lambda.*kc./(L.*Cpw.)*K623</f>
        <v>0.48366659982601234</v>
      </c>
      <c r="N623">
        <f>a.*kc./G.*(H623-I623)</f>
        <v>0.49929927425296622</v>
      </c>
    </row>
    <row r="624" spans="5:14" x14ac:dyDescent="0.25">
      <c r="E624">
        <v>622</v>
      </c>
      <c r="F624">
        <f>dz.*E624</f>
        <v>14.142490715080816</v>
      </c>
      <c r="G624">
        <f>G623+L623*dz.</f>
        <v>3.5319974894847146</v>
      </c>
      <c r="H624">
        <f>H623+M623*dz.</f>
        <v>318.24857859879694</v>
      </c>
      <c r="I624">
        <f>I623+N623*dz.</f>
        <v>317.66682016408265</v>
      </c>
      <c r="J624">
        <f>(10^(AntA.-AntB./(AntC.+(H624-273.15)))*101325/760)</f>
        <v>9608.3779564321958</v>
      </c>
      <c r="K624">
        <f>(J624/(R.*H624)-G624)</f>
        <v>9.9398297577494965E-2</v>
      </c>
      <c r="L624">
        <f>a.*kc./G.*K624</f>
        <v>8.5257369431880919E-2</v>
      </c>
      <c r="M624">
        <f>a.*h./(L.*Cpw.)*(H624-I624)+a.*lambda.*kc./(L.*Cpw.)*K624</f>
        <v>0.48356875772045965</v>
      </c>
      <c r="N624">
        <f>a.*kc./G.*(H624-I624)</f>
        <v>0.49899439927408518</v>
      </c>
    </row>
    <row r="625" spans="5:14" x14ac:dyDescent="0.25">
      <c r="E625">
        <v>623</v>
      </c>
      <c r="F625">
        <f>dz.*E625</f>
        <v>14.165227838416959</v>
      </c>
      <c r="G625">
        <f>G624+L624*dz.</f>
        <v>3.5339359968088022</v>
      </c>
      <c r="H625">
        <f>H624+M624*dz.</f>
        <v>318.25957356128271</v>
      </c>
      <c r="I625">
        <f>I624+N624*dz.</f>
        <v>317.67816586128299</v>
      </c>
      <c r="J625">
        <f>(10^(AntA.-AntB./(AntC.+(H625-273.15)))*101325/760)</f>
        <v>9613.8059858741599</v>
      </c>
      <c r="K625">
        <f>(J625/(R.*H625)-G625)</f>
        <v>9.9385737501986426E-2</v>
      </c>
      <c r="L625">
        <f>a.*kc./G.*K625</f>
        <v>8.5246596219222134E-2</v>
      </c>
      <c r="M625">
        <f>a.*h./(L.*Cpw.)*(H625-I625)+a.*lambda.*kc./(L.*Cpw.)*K625</f>
        <v>0.48347453241470673</v>
      </c>
      <c r="N625">
        <f>a.*kc./G.*(H625-I625)</f>
        <v>0.49869356193721226</v>
      </c>
    </row>
    <row r="626" spans="5:14" x14ac:dyDescent="0.25">
      <c r="E626">
        <v>624</v>
      </c>
      <c r="F626">
        <f>dz.*E626</f>
        <v>14.187964961753103</v>
      </c>
      <c r="G626">
        <f>G625+L625*dz.</f>
        <v>3.5358742591810248</v>
      </c>
      <c r="H626">
        <f>H625+M625*dz.</f>
        <v>318.2705663813561</v>
      </c>
      <c r="I626">
        <f>I625+N625*dz.</f>
        <v>317.68950471830772</v>
      </c>
      <c r="J626">
        <f>(10^(AntA.-AntB./(AntC.+(H626-273.15)))*101325/760)</f>
        <v>9619.2355944305891</v>
      </c>
      <c r="K626">
        <f>(J626/(R.*H626)-G626)</f>
        <v>9.9373910551501687E-2</v>
      </c>
      <c r="L626">
        <f>a.*kc./G.*K626</f>
        <v>8.5236451833339222E-2</v>
      </c>
      <c r="M626">
        <f>a.*h./(L.*Cpw.)*(H626-I626)+a.*lambda.*kc./(L.*Cpw.)*K626</f>
        <v>0.4833839223504931</v>
      </c>
      <c r="N626">
        <f>a.*kc./G.*(H626-I626)</f>
        <v>0.49839675403490957</v>
      </c>
    </row>
    <row r="627" spans="5:14" x14ac:dyDescent="0.25">
      <c r="E627">
        <v>625</v>
      </c>
      <c r="F627">
        <f>dz.*E627</f>
        <v>14.210702085089245</v>
      </c>
      <c r="G627">
        <f>G626+L626*dz.</f>
        <v>3.5378122908990948</v>
      </c>
      <c r="H627">
        <f>H626+M626*dz.</f>
        <v>318.28155714121732</v>
      </c>
      <c r="I627">
        <f>I626+N626*dz.</f>
        <v>317.70083682677455</v>
      </c>
      <c r="J627">
        <f>(10^(AntA.-AntB./(AntC.+(H627-273.15)))*101325/760)</f>
        <v>9624.6668222455683</v>
      </c>
      <c r="K627">
        <f>(J627/(R.*H627)-G627)</f>
        <v>9.9362816647808216E-2</v>
      </c>
      <c r="L627">
        <f>a.*kc./G.*K627</f>
        <v>8.5226936207129442E-2</v>
      </c>
      <c r="M627">
        <f>a.*h./(L.*Cpw.)*(H627-I627)+a.*lambda.*kc./(L.*Cpw.)*K627</f>
        <v>0.48329692607677222</v>
      </c>
      <c r="N627">
        <f>a.*kc./G.*(H627-I627)</f>
        <v>0.49810396748943203</v>
      </c>
    </row>
    <row r="628" spans="5:14" x14ac:dyDescent="0.25">
      <c r="E628">
        <v>626</v>
      </c>
      <c r="F628">
        <f>dz.*E628</f>
        <v>14.233439208425388</v>
      </c>
      <c r="G628">
        <f>G627+L627*dz.</f>
        <v>3.5397501062591981</v>
      </c>
      <c r="H628">
        <f>H627+M627*dz.</f>
        <v>318.29254592303352</v>
      </c>
      <c r="I628">
        <f>I627+N627*dz.</f>
        <v>317.7121622781176</v>
      </c>
      <c r="J628">
        <f>(10^(AntA.-AntB./(AntC.+(H628-273.15)))*101325/760)</f>
        <v>9630.0997095250877</v>
      </c>
      <c r="K628">
        <f>(J628/(R.*H628)-G628)</f>
        <v>9.9352455734035949E-2</v>
      </c>
      <c r="L628">
        <f>a.*kc./G.*K628</f>
        <v>8.5218049291813355E-2</v>
      </c>
      <c r="M628">
        <f>a.*h./(L.*Cpw.)*(H628-I628)+a.*lambda.*kc./(L.*Cpw.)*K628</f>
        <v>0.48321354224947732</v>
      </c>
      <c r="N628">
        <f>a.*kc./G.*(H628-I628)</f>
        <v>0.4978151943521904</v>
      </c>
    </row>
    <row r="629" spans="5:14" x14ac:dyDescent="0.25">
      <c r="E629">
        <v>627</v>
      </c>
      <c r="F629">
        <f>dz.*E629</f>
        <v>14.25617633176153</v>
      </c>
      <c r="G629">
        <f>G628+L628*dz.</f>
        <v>3.5416877195564114</v>
      </c>
      <c r="H629">
        <f>H628+M628*dz.</f>
        <v>318.30353280894133</v>
      </c>
      <c r="I629">
        <f>I628+N628*dz.</f>
        <v>317.72348116359018</v>
      </c>
      <c r="J629">
        <f>(10^(AntA.-AntB./(AntC.+(H629-273.15)))*101325/760)</f>
        <v>9635.5342965383643</v>
      </c>
      <c r="K629">
        <f>(J629/(R.*H629)-G629)</f>
        <v>9.9342827774728804E-2</v>
      </c>
      <c r="L629">
        <f>a.*kc./G.*K629</f>
        <v>8.5209791056979067E-2</v>
      </c>
      <c r="M629">
        <f>a.*h./(L.*Cpw.)*(H629-I629)+a.*lambda.*kc./(L.*Cpw.)*K629</f>
        <v>0.48313376963170207</v>
      </c>
      <c r="N629">
        <f>a.*kc./G.*(H629-I629)</f>
        <v>0.49753042680350806</v>
      </c>
    </row>
    <row r="630" spans="5:14" x14ac:dyDescent="0.25">
      <c r="E630">
        <v>628</v>
      </c>
      <c r="F630">
        <f>dz.*E630</f>
        <v>14.278913455097673</v>
      </c>
      <c r="G630">
        <f>G629+L629*dz.</f>
        <v>3.5436251450851208</v>
      </c>
      <c r="H630">
        <f>H629+M629*dz.</f>
        <v>318.31451788104931</v>
      </c>
      <c r="I630">
        <f>I629+N629*dz.</f>
        <v>317.73479357426788</v>
      </c>
      <c r="J630">
        <f>(10^(AntA.-AntB./(AntC.+(H630-273.15)))*101325/760)</f>
        <v>9640.9706236190323</v>
      </c>
      <c r="K630">
        <f>(J630/(R.*H630)-G630)</f>
        <v>9.933393275584157E-2</v>
      </c>
      <c r="L630">
        <f>a.*kc./G.*K630</f>
        <v>8.5202161490579492E-2</v>
      </c>
      <c r="M630">
        <f>a.*h./(L.*Cpw.)*(H630-I630)+a.*lambda.*kc./(L.*Cpw.)*K630</f>
        <v>0.48305760709360634</v>
      </c>
      <c r="N630">
        <f>a.*kc./G.*(H630-I630)</f>
        <v>0.49724965715203562</v>
      </c>
    </row>
    <row r="631" spans="5:14" x14ac:dyDescent="0.25">
      <c r="E631">
        <v>629</v>
      </c>
      <c r="F631">
        <f>dz.*E631</f>
        <v>14.301650578433817</v>
      </c>
      <c r="G631">
        <f>G630+L630*dz.</f>
        <v>3.5455623971394381</v>
      </c>
      <c r="H631">
        <f>H630+M630*dz.</f>
        <v>318.32550122144028</v>
      </c>
      <c r="I631">
        <f>I630+N630*dz.</f>
        <v>317.74609960105141</v>
      </c>
      <c r="J631">
        <f>(10^(AntA.-AntB./(AntC.+(H631-273.15)))*101325/760)</f>
        <v>9646.4087311663152</v>
      </c>
      <c r="K631">
        <f>(J631/(R.*H631)-G631)</f>
        <v>9.9325770684742132E-2</v>
      </c>
      <c r="L631">
        <f>a.*kc./G.*K631</f>
        <v>8.5195160598934325E-2</v>
      </c>
      <c r="M631">
        <f>a.*h./(L.*Cpw.)*(H631-I631)+a.*lambda.*kc./(L.*Cpw.)*K631</f>
        <v>0.48298505361237093</v>
      </c>
      <c r="N631">
        <f>a.*kc./G.*(H631-I631)</f>
        <v>0.49697287783436089</v>
      </c>
    </row>
    <row r="632" spans="5:14" x14ac:dyDescent="0.25">
      <c r="E632">
        <v>630</v>
      </c>
      <c r="F632">
        <f>dz.*E632</f>
        <v>14.324387701769959</v>
      </c>
      <c r="G632">
        <f>G631+L631*dz.</f>
        <v>3.5474994900136188</v>
      </c>
      <c r="H632">
        <f>H631+M631*dz.</f>
        <v>318.33648291217378</v>
      </c>
      <c r="I632">
        <f>I631+N631*dz.</f>
        <v>317.75739933466946</v>
      </c>
      <c r="J632">
        <f>(10^(AntA.-AntB./(AntC.+(H632-273.15)))*101325/760)</f>
        <v>9651.8486596462972</v>
      </c>
      <c r="K632">
        <f>(J632/(R.*H632)-G632)</f>
        <v>9.9318341590235004E-2</v>
      </c>
      <c r="L632">
        <f>a.*kc./G.*K632</f>
        <v>8.518878840675019E-2</v>
      </c>
      <c r="M632">
        <f>a.*h./(L.*Cpw.)*(H632-I632)+a.*lambda.*kc./(L.*Cpw.)*K632</f>
        <v>0.48291610827224801</v>
      </c>
      <c r="N632">
        <f>a.*kc./G.*(H632-I632)</f>
        <v>0.49670008141466759</v>
      </c>
    </row>
    <row r="633" spans="5:14" x14ac:dyDescent="0.25">
      <c r="E633">
        <v>631</v>
      </c>
      <c r="F633">
        <f>dz.*E633</f>
        <v>14.347124825106102</v>
      </c>
      <c r="G633">
        <f>G632+L632*dz.</f>
        <v>3.5494364380024797</v>
      </c>
      <c r="H633">
        <f>H632+M632*dz.</f>
        <v>318.34746303528857</v>
      </c>
      <c r="I633">
        <f>I632+N632*dz.</f>
        <v>317.76869286568166</v>
      </c>
      <c r="J633">
        <f>(10^(AntA.-AntB./(AntC.+(H633-273.15)))*101325/760)</f>
        <v>9657.2904495930907</v>
      </c>
      <c r="K633">
        <f>(J633/(R.*H633)-G633)</f>
        <v>9.9311645522559555E-2</v>
      </c>
      <c r="L633">
        <f>a.*kc./G.*K633</f>
        <v>8.5183044957119161E-2</v>
      </c>
      <c r="M633">
        <f>a.*h./(L.*Cpw.)*(H633-I633)+a.*lambda.*kc./(L.*Cpw.)*K633</f>
        <v>0.48285077026449297</v>
      </c>
      <c r="N633">
        <f>a.*kc./G.*(H633-I633)</f>
        <v>0.49643126058429682</v>
      </c>
    </row>
    <row r="634" spans="5:14" x14ac:dyDescent="0.25">
      <c r="E634">
        <v>632</v>
      </c>
      <c r="F634">
        <f>dz.*E634</f>
        <v>14.369861948442244</v>
      </c>
      <c r="G634">
        <f>G633+L633*dz.</f>
        <v>3.5513732554018178</v>
      </c>
      <c r="H634">
        <f>H633+M633*dz.</f>
        <v>318.35844167280504</v>
      </c>
      <c r="I634">
        <f>I633+N633*dz.</f>
        <v>317.7799802844815</v>
      </c>
      <c r="J634">
        <f>(10^(AntA.-AntB./(AntC.+(H634-273.15)))*101325/760)</f>
        <v>9662.734141610199</v>
      </c>
      <c r="K634">
        <f>(J634/(R.*H634)-G634)</f>
        <v>9.9305682553448626E-2</v>
      </c>
      <c r="L634">
        <f>a.*kc./G.*K634</f>
        <v>8.5177930311568978E-2</v>
      </c>
      <c r="M634">
        <f>a.*h./(L.*Cpw.)*(H634-I634)+a.*lambda.*kc./(L.*Cpw.)*K634</f>
        <v>0.48278903888755376</v>
      </c>
      <c r="N634">
        <f>a.*kc./G.*(H634-I634)</f>
        <v>0.49616640816135643</v>
      </c>
    </row>
    <row r="635" spans="5:14" x14ac:dyDescent="0.25">
      <c r="E635">
        <v>633</v>
      </c>
      <c r="F635">
        <f>dz.*E635</f>
        <v>14.392599071778388</v>
      </c>
      <c r="G635">
        <f>G634+L634*dz.</f>
        <v>3.5533099565088295</v>
      </c>
      <c r="H635">
        <f>H634+M634*dz.</f>
        <v>318.36941890672756</v>
      </c>
      <c r="I635">
        <f>I634+N634*dz.</f>
        <v>317.79126168129909</v>
      </c>
      <c r="J635">
        <f>(10^(AntA.-AntB./(AntC.+(H635-273.15)))*101325/760)</f>
        <v>9668.1797763715367</v>
      </c>
      <c r="K635">
        <f>(J635/(R.*H635)-G635)</f>
        <v>9.9300452776066361E-2</v>
      </c>
      <c r="L635">
        <f>a.*kc./G.*K635</f>
        <v>8.5173444550009747E-2</v>
      </c>
      <c r="M635">
        <f>a.*h./(L.*Cpw.)*(H635-I635)+a.*lambda.*kc./(L.*Cpw.)*K635</f>
        <v>0.48273091354675812</v>
      </c>
      <c r="N635">
        <f>a.*kc./G.*(H635-I635)</f>
        <v>0.49590551709033165</v>
      </c>
    </row>
    <row r="636" spans="5:14" x14ac:dyDescent="0.25">
      <c r="E636">
        <v>634</v>
      </c>
      <c r="F636">
        <f>dz.*E636</f>
        <v>14.415336195114531</v>
      </c>
      <c r="G636">
        <f>G635+L635*dz.</f>
        <v>3.555246555622527</v>
      </c>
      <c r="H636">
        <f>H635+M635*dz.</f>
        <v>318.38039481904707</v>
      </c>
      <c r="I636">
        <f>I635+N635*dz.</f>
        <v>317.80253714620426</v>
      </c>
      <c r="J636">
        <f>(10^(AntA.-AntB./(AntC.+(H636-273.15)))*101325/760)</f>
        <v>9673.627394622903</v>
      </c>
      <c r="K636">
        <f>(J636/(R.*H636)-G636)</f>
        <v>9.9295956305116562E-2</v>
      </c>
      <c r="L636">
        <f>a.*kc./G.*K636</f>
        <v>8.5169587770826893E-2</v>
      </c>
      <c r="M636">
        <f>a.*h./(L.*Cpw.)*(H636-I636)+a.*lambda.*kc./(L.*Cpw.)*K636</f>
        <v>0.48267639375471016</v>
      </c>
      <c r="N636">
        <f>a.*kc./G.*(H636-I636)</f>
        <v>0.49564858044169435</v>
      </c>
    </row>
    <row r="637" spans="5:14" x14ac:dyDescent="0.25">
      <c r="E637">
        <v>635</v>
      </c>
      <c r="F637">
        <f>dz.*E637</f>
        <v>14.438073318450673</v>
      </c>
      <c r="G637">
        <f>G636+L636*dz.</f>
        <v>3.5571830670441607</v>
      </c>
      <c r="H637">
        <f>H636+M636*dz.</f>
        <v>318.39136949174332</v>
      </c>
      <c r="I637">
        <f>I636+N636*dz.</f>
        <v>317.81380676910914</v>
      </c>
      <c r="J637">
        <f>(10^(AntA.-AntB./(AntC.+(H637-273.15)))*101325/760)</f>
        <v>9679.0770371830749</v>
      </c>
      <c r="K637">
        <f>(J637/(R.*H637)-G637)</f>
        <v>9.9292193276797391E-2</v>
      </c>
      <c r="L637">
        <f>a.*kc./G.*K637</f>
        <v>8.5166360090842344E-2</v>
      </c>
      <c r="M637">
        <f>a.*h./(L.*Cpw.)*(H637-I637)+a.*lambda.*kc./(L.*Cpw.)*K637</f>
        <v>0.4826254791310543</v>
      </c>
      <c r="N637">
        <f>a.*kc./G.*(H637-I637)</f>
        <v>0.49539559141156242</v>
      </c>
    </row>
    <row r="638" spans="5:14" x14ac:dyDescent="0.25">
      <c r="E638">
        <v>636</v>
      </c>
      <c r="F638">
        <f>dz.*E638</f>
        <v>14.460810441786816</v>
      </c>
      <c r="G638">
        <f>G637+L637*dz.</f>
        <v>3.5591195050776365</v>
      </c>
      <c r="H638">
        <f>H637+M637*dz.</f>
        <v>318.40234300678748</v>
      </c>
      <c r="I638">
        <f>I637+N637*dz.</f>
        <v>317.82507063977124</v>
      </c>
      <c r="J638">
        <f>(10^(AntA.-AntB./(AntC.+(H638-273.15)))*101325/760)</f>
        <v>9684.5287449450789</v>
      </c>
      <c r="K638">
        <f>(J638/(R.*H638)-G638)</f>
        <v>9.9289163848832462E-2</v>
      </c>
      <c r="L638">
        <f>a.*kc./G.*K638</f>
        <v>8.5163761645341077E-2</v>
      </c>
      <c r="M638">
        <f>a.*h./(L.*Cpw.)*(H638-I638)+a.*lambda.*kc./(L.*Cpw.)*K638</f>
        <v>0.48257816940255072</v>
      </c>
      <c r="N638">
        <f>a.*kc./G.*(H638-I638)</f>
        <v>0.4951465433213092</v>
      </c>
    </row>
    <row r="639" spans="5:14" x14ac:dyDescent="0.25">
      <c r="E639">
        <v>637</v>
      </c>
      <c r="F639">
        <f>dz.*E639</f>
        <v>14.483547565122958</v>
      </c>
      <c r="G639">
        <f>G638+L638*dz.</f>
        <v>3.5610558840299364</v>
      </c>
      <c r="H639">
        <f>H638+M638*dz.</f>
        <v>318.41331544614451</v>
      </c>
      <c r="I639">
        <f>I638+N638*dz.</f>
        <v>317.83632884779621</v>
      </c>
      <c r="J639">
        <f>(10^(AntA.-AntB./(AntC.+(H639-273.15)))*101325/760)</f>
        <v>9689.9825588775475</v>
      </c>
      <c r="K639">
        <f>(J639/(R.*H639)-G639)</f>
        <v>9.9286868200534784E-2</v>
      </c>
      <c r="L639">
        <f>a.*kc./G.*K639</f>
        <v>8.5161792588126103E-2</v>
      </c>
      <c r="M639">
        <f>a.*h./(L.*Cpw.)*(H639-I639)+a.*lambda.*kc./(L.*Cpw.)*K639</f>
        <v>0.48253446440330039</v>
      </c>
      <c r="N639">
        <f>a.*kc./G.*(H639-I639)</f>
        <v>0.49490142961727113</v>
      </c>
    </row>
    <row r="640" spans="5:14" x14ac:dyDescent="0.25">
      <c r="E640">
        <v>638</v>
      </c>
      <c r="F640">
        <f>dz.*E640</f>
        <v>14.506284688459102</v>
      </c>
      <c r="G640">
        <f>G639+L639*dz.</f>
        <v>3.5629922182115399</v>
      </c>
      <c r="H640">
        <f>H639+M639*dz.</f>
        <v>318.42428689177558</v>
      </c>
      <c r="I640">
        <f>I639+N639*dz.</f>
        <v>317.84758148264063</v>
      </c>
      <c r="J640">
        <f>(10^(AntA.-AntB./(AntC.+(H640-273.15)))*101325/760)</f>
        <v>9695.4385200258803</v>
      </c>
      <c r="K640">
        <f>(J640/(R.*H640)-G640)</f>
        <v>9.928530653278278E-2</v>
      </c>
      <c r="L640">
        <f>a.*kc./G.*K640</f>
        <v>8.516045309149782E-2</v>
      </c>
      <c r="M640">
        <f>a.*h./(L.*Cpw.)*(H640-I640)+a.*lambda.*kc./(L.*Cpw.)*K640</f>
        <v>0.48249436407459156</v>
      </c>
      <c r="N640">
        <f>a.*kc./G.*(H640-I640)</f>
        <v>0.49466024387035767</v>
      </c>
    </row>
    <row r="641" spans="5:14" x14ac:dyDescent="0.25">
      <c r="E641">
        <v>639</v>
      </c>
      <c r="F641">
        <f>dz.*E641</f>
        <v>14.529021811795245</v>
      </c>
      <c r="G641">
        <f>G640+L640*dz.</f>
        <v>3.5649285219368432</v>
      </c>
      <c r="H641">
        <f>H640+M640*dz.</f>
        <v>318.43525742564054</v>
      </c>
      <c r="I641">
        <f>I640+N640*dz.</f>
        <v>317.85882863361502</v>
      </c>
      <c r="J641">
        <f>(10^(AntA.-AntB./(AntC.+(H641-273.15)))*101325/760)</f>
        <v>9700.8966695135477</v>
      </c>
      <c r="K641">
        <f>(J641/(R.*H641)-G641)</f>
        <v>9.9284479068063813E-2</v>
      </c>
      <c r="L641">
        <f>a.*kc./G.*K641</f>
        <v>8.5159743346291353E-2</v>
      </c>
      <c r="M641">
        <f>a.*h./(L.*Cpw.)*(H641-I641)+a.*lambda.*kc./(L.*Cpw.)*K641</f>
        <v>0.48245786846502603</v>
      </c>
      <c r="N641">
        <f>a.*kc./G.*(H641-I641)</f>
        <v>0.49442297977566146</v>
      </c>
    </row>
    <row r="642" spans="5:14" x14ac:dyDescent="0.25">
      <c r="E642">
        <v>640</v>
      </c>
      <c r="F642">
        <f>dz.*E642</f>
        <v>14.551758935131387</v>
      </c>
      <c r="G642">
        <f>G641+L641*dz.</f>
        <v>3.5668648095245818</v>
      </c>
      <c r="H642">
        <f>H641+M641*dz.</f>
        <v>318.44622712970033</v>
      </c>
      <c r="I642">
        <f>I641+N641*dz.</f>
        <v>317.87007038988639</v>
      </c>
      <c r="J642">
        <f>(10^(AntA.-AntB./(AntC.+(H642-273.15)))*101325/760)</f>
        <v>9706.3570485433629</v>
      </c>
      <c r="K642">
        <f>(J642/(R.*H642)-G642)</f>
        <v>9.9284386050499496E-2</v>
      </c>
      <c r="L642">
        <f>a.*kc./G.*K642</f>
        <v>8.5159663561898274E-2</v>
      </c>
      <c r="M642">
        <f>a.*h./(L.*Cpw.)*(H642-I642)+a.*lambda.*kc./(L.*Cpw.)*K642</f>
        <v>0.48242497773059784</v>
      </c>
      <c r="N642">
        <f>a.*kc./G.*(H642-I642)</f>
        <v>0.49418963115226289</v>
      </c>
    </row>
    <row r="643" spans="5:14" x14ac:dyDescent="0.25">
      <c r="E643">
        <v>641</v>
      </c>
      <c r="F643">
        <f>dz.*E643</f>
        <v>14.574496058467529</v>
      </c>
      <c r="G643">
        <f>G642+L642*dz.</f>
        <v>3.568801095298253</v>
      </c>
      <c r="H643">
        <f>H642+M642*dz.</f>
        <v>318.45719608591941</v>
      </c>
      <c r="I643">
        <f>I642+N642*dz.</f>
        <v>317.88130684048133</v>
      </c>
      <c r="J643">
        <f>(10^(AntA.-AntB./(AntC.+(H643-273.15)))*101325/760)</f>
        <v>9711.81969839874</v>
      </c>
      <c r="K643">
        <f>(J643/(R.*H643)-G643)</f>
        <v>9.9285027745863452E-2</v>
      </c>
      <c r="L643">
        <f>a.*kc./G.*K643</f>
        <v>8.5160213966281859E-2</v>
      </c>
      <c r="M643">
        <f>a.*h./(L.*Cpw.)*(H643-I643)+a.*lambda.*kc./(L.*Cpw.)*K643</f>
        <v>0.48239569213469946</v>
      </c>
      <c r="N643">
        <f>a.*kc./G.*(H643-I643)</f>
        <v>0.49396019194274282</v>
      </c>
    </row>
    <row r="644" spans="5:14" x14ac:dyDescent="0.25">
      <c r="E644">
        <v>642</v>
      </c>
      <c r="F644">
        <f>dz.*E644</f>
        <v>14.597233181803672</v>
      </c>
      <c r="G644">
        <f>G643+L643*dz.</f>
        <v>3.5707373935865365</v>
      </c>
      <c r="H644">
        <f>H643+M643*dz.</f>
        <v>318.46816437626831</v>
      </c>
      <c r="I644">
        <f>I643+N643*dz.</f>
        <v>317.89253807428867</v>
      </c>
      <c r="J644">
        <f>(10^(AntA.-AntB./(AntC.+(H644-273.15)))*101325/760)</f>
        <v>9717.2846604450551</v>
      </c>
      <c r="K644">
        <f>(J644/(R.*H644)-G644)</f>
        <v>9.9286404441637721E-2</v>
      </c>
      <c r="L644">
        <f>a.*kc./G.*K644</f>
        <v>8.5161394806025428E-2</v>
      </c>
      <c r="M644">
        <f>a.*h./(L.*Cpw.)*(H644-I644)+a.*lambda.*kc./(L.*Cpw.)*K644</f>
        <v>0.48237001204833602</v>
      </c>
      <c r="N644">
        <f>a.*kc./G.*(H644-I644)</f>
        <v>0.49373465621303625</v>
      </c>
    </row>
    <row r="645" spans="5:14" x14ac:dyDescent="0.25">
      <c r="E645">
        <v>643</v>
      </c>
      <c r="F645">
        <f>dz.*E645</f>
        <v>14.619970305139816</v>
      </c>
      <c r="G645">
        <f>G644+L644*dz.</f>
        <v>3.5726737187237192</v>
      </c>
      <c r="H645">
        <f>H644+M644*dz.</f>
        <v>318.47913208272593</v>
      </c>
      <c r="I645">
        <f>I644+N644*dz.</f>
        <v>317.9037641800623</v>
      </c>
      <c r="J645">
        <f>(10^(AntA.-AntB./(AntC.+(H645-273.15)))*101325/760)</f>
        <v>9722.751976130854</v>
      </c>
      <c r="K645">
        <f>(J645/(R.*H645)-G645)</f>
        <v>9.9288516447013642E-2</v>
      </c>
      <c r="L645">
        <f>a.*kc./G.*K645</f>
        <v>8.516320634633312E-2</v>
      </c>
      <c r="M645">
        <f>a.*h./(L.*Cpw.)*(H645-I645)+a.*lambda.*kc./(L.*Cpw.)*K645</f>
        <v>0.48234793795006808</v>
      </c>
      <c r="N645">
        <f>a.*kc./G.*(H645-I645)</f>
        <v>0.49351301815199355</v>
      </c>
    </row>
    <row r="646" spans="5:14" x14ac:dyDescent="0.25">
      <c r="E646">
        <v>644</v>
      </c>
      <c r="F646">
        <f>dz.*E646</f>
        <v>14.642707428475958</v>
      </c>
      <c r="G646">
        <f>G645+L645*dz.</f>
        <v>3.574610085050117</v>
      </c>
      <c r="H646">
        <f>H645+M645*dz.</f>
        <v>318.49009928728202</v>
      </c>
      <c r="I646">
        <f>I645+N645*dz.</f>
        <v>317.91498524642401</v>
      </c>
      <c r="J646">
        <f>(10^(AntA.-AntB./(AntC.+(H646-273.15)))*101325/760)</f>
        <v>9728.2216869891927</v>
      </c>
      <c r="K646">
        <f>(J646/(R.*H646)-G646)</f>
        <v>9.9291364092937151E-2</v>
      </c>
      <c r="L646">
        <f>a.*kc./G.*K646</f>
        <v>8.5165648871068741E-2</v>
      </c>
      <c r="M646">
        <f>a.*h./(L.*Cpw.)*(H646-I646)+a.*lambda.*kc./(L.*Cpw.)*K646</f>
        <v>0.48232947042615953</v>
      </c>
      <c r="N646">
        <f>a.*kc./G.*(H646-I646)</f>
        <v>0.49329527207108781</v>
      </c>
    </row>
    <row r="647" spans="5:14" x14ac:dyDescent="0.25">
      <c r="E647">
        <v>645</v>
      </c>
      <c r="F647">
        <f>dz.*E647</f>
        <v>14.665444551812101</v>
      </c>
      <c r="G647">
        <f>G646+L646*dz.</f>
        <v>3.5765465069125013</v>
      </c>
      <c r="H647">
        <f>H646+M646*dz.</f>
        <v>318.50106607193976</v>
      </c>
      <c r="I647">
        <f>I646+N646*dz.</f>
        <v>317.92620136186622</v>
      </c>
      <c r="J647">
        <f>(10^(AntA.-AntB./(AntC.+(H647-273.15)))*101325/760)</f>
        <v>9733.6938346389343</v>
      </c>
      <c r="K647">
        <f>(J647/(R.*H647)-G647)</f>
        <v>9.9294947732142091E-2</v>
      </c>
      <c r="L647">
        <f>a.*kc./G.*K647</f>
        <v>8.5168722682784359E-2</v>
      </c>
      <c r="M647">
        <f>a.*h./(L.*Cpw.)*(H647-I647)+a.*lambda.*kc./(L.*Cpw.)*K647</f>
        <v>0.48231461017069593</v>
      </c>
      <c r="N647">
        <f>a.*kc./G.*(H647-I647)</f>
        <v>0.49308141240426862</v>
      </c>
    </row>
    <row r="648" spans="5:14" x14ac:dyDescent="0.25">
      <c r="E648">
        <v>646</v>
      </c>
      <c r="F648">
        <f>dz.*E648</f>
        <v>14.688181675148243</v>
      </c>
      <c r="G648">
        <f>G647+L647*dz.</f>
        <v>3.5784829986645215</v>
      </c>
      <c r="H648">
        <f>H647+M647*dz.</f>
        <v>318.51203251871806</v>
      </c>
      <c r="I648">
        <f>I647+N647*dz.</f>
        <v>317.93741261475481</v>
      </c>
      <c r="J648">
        <f>(10^(AntA.-AntB./(AntC.+(H648-273.15)))*101325/760)</f>
        <v>9739.1684607860516</v>
      </c>
      <c r="K648">
        <f>(J648/(R.*H648)-G648)</f>
        <v>9.9299267739178632E-2</v>
      </c>
      <c r="L648">
        <f>a.*kc./G.*K648</f>
        <v>8.5172428102744641E-2</v>
      </c>
      <c r="M648">
        <f>a.*h./(L.*Cpw.)*(H648-I648)+a.*lambda.*kc./(L.*Cpw.)*K648</f>
        <v>0.48230335798564183</v>
      </c>
      <c r="N648">
        <f>a.*kc./G.*(H648-I648)</f>
        <v>0.49287143370752334</v>
      </c>
    </row>
    <row r="649" spans="5:14" x14ac:dyDescent="0.25">
      <c r="E649">
        <v>647</v>
      </c>
      <c r="F649">
        <f>dz.*E649</f>
        <v>14.710918798484386</v>
      </c>
      <c r="G649">
        <f>G648+L648*dz.</f>
        <v>3.5804195746671321</v>
      </c>
      <c r="H649">
        <f>H648+M648*dz.</f>
        <v>318.52299870965402</v>
      </c>
      <c r="I649">
        <f>I648+N648*dz.</f>
        <v>317.9486190933319</v>
      </c>
      <c r="J649">
        <f>(10^(AntA.-AntB./(AntC.+(H649-273.15)))*101325/760)</f>
        <v>9744.6456072249402</v>
      </c>
      <c r="K649">
        <f>(J649/(R.*H649)-G649)</f>
        <v>9.9304324510452346E-2</v>
      </c>
      <c r="L649">
        <f>a.*kc./G.*K649</f>
        <v>8.5176765470960425E-2</v>
      </c>
      <c r="M649">
        <f>a.*h./(L.*Cpw.)*(H649-I649)+a.*lambda.*kc./(L.*Cpw.)*K649</f>
        <v>0.482295714780963</v>
      </c>
      <c r="N649">
        <f>a.*kc./G.*(H649-I649)</f>
        <v>0.49266533065858442</v>
      </c>
    </row>
    <row r="650" spans="5:14" x14ac:dyDescent="0.25">
      <c r="E650">
        <v>648</v>
      </c>
      <c r="F650">
        <f>dz.*E650</f>
        <v>14.73365592182053</v>
      </c>
      <c r="G650">
        <f>G649+L649*dz.</f>
        <v>3.5823562492890191</v>
      </c>
      <c r="H650">
        <f>H649+M649*dz.</f>
        <v>318.53396472680549</v>
      </c>
      <c r="I650">
        <f>I649+N649*dz.</f>
        <v>317.9598208857185</v>
      </c>
      <c r="J650">
        <f>(10^(AntA.-AntB./(AntC.+(H650-273.15)))*101325/760)</f>
        <v>9750.1253158397903</v>
      </c>
      <c r="K650">
        <f>(J650/(R.*H650)-G650)</f>
        <v>9.9310118464273511E-2</v>
      </c>
      <c r="L650">
        <f>a.*kc./G.*K650</f>
        <v>8.5181735146230952E-2</v>
      </c>
      <c r="M650">
        <f>a.*h./(L.*Cpw.)*(H650-I650)+a.*lambda.*kc./(L.*Cpw.)*K650</f>
        <v>0.48229168157482449</v>
      </c>
      <c r="N650">
        <f>a.*kc./G.*(H650-I650)</f>
        <v>0.49246309805688071</v>
      </c>
    </row>
    <row r="651" spans="5:14" x14ac:dyDescent="0.25">
      <c r="E651">
        <v>649</v>
      </c>
      <c r="F651">
        <f>dz.*E651</f>
        <v>14.756393045156672</v>
      </c>
      <c r="G651">
        <f>G650+L650*dz.</f>
        <v>3.5842930369070256</v>
      </c>
      <c r="H651">
        <f>H650+M650*dz.</f>
        <v>318.54493065225347</v>
      </c>
      <c r="I651">
        <f>I650+N650*dz.</f>
        <v>317.97101807991754</v>
      </c>
      <c r="J651">
        <f>(10^(AntA.-AntB./(AntC.+(H651-273.15)))*101325/760)</f>
        <v>9755.6076286058396</v>
      </c>
      <c r="K651">
        <f>(J651/(R.*H651)-G651)</f>
        <v>9.9316650040873533E-2</v>
      </c>
      <c r="L651">
        <f>a.*kc./G.*K651</f>
        <v>8.5187337506157951E-2</v>
      </c>
      <c r="M651">
        <f>a.*h./(L.*Cpw.)*(H651-I651)+a.*lambda.*kc./(L.*Cpw.)*K651</f>
        <v>0.48229125949357809</v>
      </c>
      <c r="N651">
        <f>a.*kc./G.*(H651-I651)</f>
        <v>0.49226473082295252</v>
      </c>
    </row>
    <row r="652" spans="5:14" x14ac:dyDescent="0.25">
      <c r="E652">
        <v>650</v>
      </c>
      <c r="F652">
        <f>dz.*E652</f>
        <v>14.779130168492815</v>
      </c>
      <c r="G652">
        <f>G651+L651*dz.</f>
        <v>3.5862299519065806</v>
      </c>
      <c r="H652">
        <f>H651+M651*dz.</f>
        <v>318.55589656810452</v>
      </c>
      <c r="I652">
        <f>I651+N651*dz.</f>
        <v>317.98221076381628</v>
      </c>
      <c r="J652">
        <f>(10^(AntA.-AntB./(AntC.+(H652-273.15)))*101325/760)</f>
        <v>9761.0925875907524</v>
      </c>
      <c r="K652">
        <f>(J652/(R.*H652)-G652)</f>
        <v>9.9323919702456909E-2</v>
      </c>
      <c r="L652">
        <f>a.*kc./G.*K652</f>
        <v>8.519357294719028E-2</v>
      </c>
      <c r="M652">
        <f>a.*h./(L.*Cpw.)*(H652-I652)+a.*lambda.*kc./(L.*Cpw.)*K652</f>
        <v>0.48229444977198521</v>
      </c>
      <c r="N652">
        <f>a.*kc./G.*(H652-I652)</f>
        <v>0.49207022399850003</v>
      </c>
    </row>
    <row r="653" spans="5:14" x14ac:dyDescent="0.25">
      <c r="E653">
        <v>651</v>
      </c>
      <c r="F653">
        <f>dz.*E653</f>
        <v>14.801867291828957</v>
      </c>
      <c r="G653">
        <f>G652+L652*dz.</f>
        <v>3.5881670086821273</v>
      </c>
      <c r="H653">
        <f>H652+M652*dz.</f>
        <v>318.56686255649333</v>
      </c>
      <c r="I653">
        <f>I652+N652*dz.</f>
        <v>317.99339902518938</v>
      </c>
      <c r="J653">
        <f>(10^(AntA.-AntB./(AntC.+(H653-273.15)))*101325/760)</f>
        <v>9766.5802349560017</v>
      </c>
      <c r="K653">
        <f>(J653/(R.*H653)-G653)</f>
        <v>9.9331927933261177E-2</v>
      </c>
      <c r="L653">
        <f>a.*kc./G.*K653</f>
        <v>8.5200441884675279E-2</v>
      </c>
      <c r="M653">
        <f>a.*h./(L.*Cpw.)*(H653-I653)+a.*lambda.*kc./(L.*Cpw.)*K653</f>
        <v>0.48230125375340593</v>
      </c>
      <c r="N653">
        <f>a.*kc./G.*(H653-I653)</f>
        <v>0.49187957274594496</v>
      </c>
    </row>
    <row r="654" spans="5:14" x14ac:dyDescent="0.25">
      <c r="E654">
        <v>652</v>
      </c>
      <c r="F654">
        <f>dz.*E654</f>
        <v>14.824604415165101</v>
      </c>
      <c r="G654">
        <f>G653+L653*dz.</f>
        <v>3.5901042216375529</v>
      </c>
      <c r="H654">
        <f>H653+M653*dz.</f>
        <v>318.5778286995851</v>
      </c>
      <c r="I654">
        <f>I653+N653*dz.</f>
        <v>318.00458295170142</v>
      </c>
      <c r="J654">
        <f>(10^(AntA.-AntB./(AntC.+(H654-273.15)))*101325/760)</f>
        <v>9772.0706129581231</v>
      </c>
      <c r="K654">
        <f>(J654/(R.*H654)-G654)</f>
        <v>9.934067523956136E-2</v>
      </c>
      <c r="L654">
        <f>a.*kc./G.*K654</f>
        <v>8.5207944752862613E-2</v>
      </c>
      <c r="M654">
        <f>a.*h./(L.*Cpw.)*(H654-I654)+a.*lambda.*kc./(L.*Cpw.)*K654</f>
        <v>0.48231167288978971</v>
      </c>
      <c r="N654">
        <f>a.*kc./G.*(H654-I654)</f>
        <v>0.491692772348235</v>
      </c>
    </row>
    <row r="655" spans="5:14" x14ac:dyDescent="0.25">
      <c r="E655">
        <v>653</v>
      </c>
      <c r="F655">
        <f>dz.*E655</f>
        <v>14.847341538501244</v>
      </c>
      <c r="G655">
        <f>G654+L654*dz.</f>
        <v>3.5920416051866182</v>
      </c>
      <c r="H655">
        <f>H654+M654*dz.</f>
        <v>318.58879507957806</v>
      </c>
      <c r="I655">
        <f>I654+N654*dz.</f>
        <v>318.01576263090982</v>
      </c>
      <c r="J655">
        <f>(10^(AntA.-AntB./(AntC.+(H655-273.15)))*101325/760)</f>
        <v>9777.5637639501037</v>
      </c>
      <c r="K655">
        <f>(J655/(R.*H655)-G655)</f>
        <v>9.9350162149726806E-2</v>
      </c>
      <c r="L655">
        <f>a.*kc./G.*K655</f>
        <v>8.5216082004952981E-2</v>
      </c>
      <c r="M655">
        <f>a.*h./(L.*Cpw.)*(H655-I655)+a.*lambda.*kc./(L.*Cpw.)*K655</f>
        <v>0.48232570874188552</v>
      </c>
      <c r="N655">
        <f>a.*kc./G.*(H655-I655)</f>
        <v>0.49150981820864925</v>
      </c>
    </row>
    <row r="656" spans="5:14" x14ac:dyDescent="0.25">
      <c r="E656">
        <v>654</v>
      </c>
      <c r="F656">
        <f>dz.*E656</f>
        <v>14.870078661837386</v>
      </c>
      <c r="G656">
        <f>G655+L655*dz.</f>
        <v>3.5939791737533877</v>
      </c>
      <c r="H656">
        <f>H655+M655*dz.</f>
        <v>318.5997617787059</v>
      </c>
      <c r="I656">
        <f>I655+N655*dz.</f>
        <v>318.02693815026737</v>
      </c>
      <c r="J656">
        <f>(10^(AntA.-AntB./(AntC.+(H656-273.15)))*101325/760)</f>
        <v>9783.0597303828326</v>
      </c>
      <c r="K656">
        <f>(J656/(R.*H656)-G656)</f>
        <v>9.9360389214303346E-2</v>
      </c>
      <c r="L656">
        <f>a.*kc./G.*K656</f>
        <v>8.5224854113168685E-2</v>
      </c>
      <c r="M656">
        <f>a.*h./(L.*Cpw.)*(H656-I656)+a.*lambda.*kc./(L.*Cpw.)*K656</f>
        <v>0.48234336297955005</v>
      </c>
      <c r="N656">
        <f>a.*kc./G.*(H656-I656)</f>
        <v>0.49133070585055416</v>
      </c>
    </row>
    <row r="657" spans="5:14" x14ac:dyDescent="0.25">
      <c r="E657">
        <v>655</v>
      </c>
      <c r="F657">
        <f>dz.*E657</f>
        <v>14.892815785173529</v>
      </c>
      <c r="G657">
        <f>G656+L656*dz.</f>
        <v>3.5959169417726637</v>
      </c>
      <c r="H657">
        <f>H656+M656*dz.</f>
        <v>318.61072887924036</v>
      </c>
      <c r="I657">
        <f>I656+N656*dz.</f>
        <v>318.03810959712513</v>
      </c>
      <c r="J657">
        <f>(10^(AntA.-AntB./(AntC.+(H657-273.15)))*101325/760)</f>
        <v>9788.5585548063991</v>
      </c>
      <c r="K657">
        <f>(J657/(R.*H657)-G657)</f>
        <v>9.9371357006028393E-2</v>
      </c>
      <c r="L657">
        <f>a.*kc./G.*K657</f>
        <v>8.5234261568766456E-2</v>
      </c>
      <c r="M657">
        <f>a.*h./(L.*Cpw.)*(H657-I657)+a.*lambda.*kc./(L.*Cpw.)*K657</f>
        <v>0.48236463738179008</v>
      </c>
      <c r="N657">
        <f>a.*kc./G.*(H657-I657)</f>
        <v>0.49115543091725744</v>
      </c>
    </row>
    <row r="658" spans="5:14" x14ac:dyDescent="0.25">
      <c r="E658">
        <v>656</v>
      </c>
      <c r="F658">
        <f>dz.*E658</f>
        <v>14.915552908509671</v>
      </c>
      <c r="G658">
        <f>G657+L657*dz.</f>
        <v>3.5978549236904178</v>
      </c>
      <c r="H658">
        <f>H657+M657*dz.</f>
        <v>318.62169646349349</v>
      </c>
      <c r="I658">
        <f>I657+N657*dz.</f>
        <v>318.04927705873513</v>
      </c>
      <c r="J658">
        <f>(10^(AntA.-AntB./(AntC.+(H658-273.15)))*101325/760)</f>
        <v>9794.0602798713953</v>
      </c>
      <c r="K658">
        <f>(J658/(R.*H658)-G658)</f>
        <v>9.9383066119857144E-2</v>
      </c>
      <c r="L658">
        <f>a.*kc./G.*K658</f>
        <v>8.5244304882060015E-2</v>
      </c>
      <c r="M658">
        <f>a.*h./(L.*Cpw.)*(H658-I658)+a.*lambda.*kc./(L.*Cpw.)*K658</f>
        <v>0.48238953383681044</v>
      </c>
      <c r="N658">
        <f>a.*kc./G.*(H658-I658)</f>
        <v>0.4909839891715691</v>
      </c>
    </row>
    <row r="659" spans="5:14" x14ac:dyDescent="0.25">
      <c r="E659">
        <v>657</v>
      </c>
      <c r="F659">
        <f>dz.*E659</f>
        <v>14.938290031845815</v>
      </c>
      <c r="G659">
        <f>G658+L658*dz.</f>
        <v>3.5997931339642251</v>
      </c>
      <c r="H659">
        <f>H658+M658*dz.</f>
        <v>318.6326646138204</v>
      </c>
      <c r="I659">
        <f>I658+N658*dz.</f>
        <v>318.060440622253</v>
      </c>
      <c r="J659">
        <f>(10^(AntA.-AntB./(AntC.+(H659-273.15)))*101325/760)</f>
        <v>9799.5649483304405</v>
      </c>
      <c r="K659">
        <f>(J659/(R.*H659)-G659)</f>
        <v>9.9395517173061609E-2</v>
      </c>
      <c r="L659">
        <f>a.*kc./G.*K659</f>
        <v>8.5254984582505008E-2</v>
      </c>
      <c r="M659">
        <f>a.*h./(L.*Cpw.)*(H659-I659)+a.*lambda.*kc./(L.*Cpw.)*K659</f>
        <v>0.48241805434244045</v>
      </c>
      <c r="N659">
        <f>a.*kc./G.*(H659-I659)</f>
        <v>0.49081637649589899</v>
      </c>
    </row>
    <row r="660" spans="5:14" x14ac:dyDescent="0.25">
      <c r="E660">
        <v>658</v>
      </c>
      <c r="F660">
        <f>dz.*E660</f>
        <v>14.961027155181958</v>
      </c>
      <c r="G660">
        <f>G659+L659*dz.</f>
        <v>3.6017315870636986</v>
      </c>
      <c r="H660">
        <f>H659+M659*dz.</f>
        <v>318.64363341262157</v>
      </c>
      <c r="I660">
        <f>I659+N659*dz.</f>
        <v>318.0716003747408</v>
      </c>
      <c r="J660">
        <f>(10^(AntA.-AntB./(AntC.+(H660-273.15)))*101325/760)</f>
        <v>9805.0726030395072</v>
      </c>
      <c r="K660">
        <f>(J660/(R.*H660)-G660)</f>
        <v>9.9408710805258593E-2</v>
      </c>
      <c r="L660">
        <f>a.*kc./G.*K660</f>
        <v>8.5266301218722945E-2</v>
      </c>
      <c r="M660">
        <f>a.*h./(L.*Cpw.)*(H660-I660)+a.*lambda.*kc./(L.*Cpw.)*K660</f>
        <v>0.48245020100619584</v>
      </c>
      <c r="N660">
        <f>a.*kc./G.*(H660-I660)</f>
        <v>0.49065258889186686</v>
      </c>
    </row>
    <row r="661" spans="5:14" x14ac:dyDescent="0.25">
      <c r="E661">
        <v>659</v>
      </c>
      <c r="F661">
        <f>dz.*E661</f>
        <v>14.9837642785181</v>
      </c>
      <c r="G661">
        <f>G660+L660*dz.</f>
        <v>3.6036702974709254</v>
      </c>
      <c r="H661">
        <f>H660+M660*dz.</f>
        <v>318.65460294234538</v>
      </c>
      <c r="I661">
        <f>I660+N660*dz.</f>
        <v>318.08275640316964</v>
      </c>
      <c r="J661">
        <f>(10^(AntA.-AntB./(AntC.+(H661-273.15)))*101325/760)</f>
        <v>9810.5832869593287</v>
      </c>
      <c r="K661">
        <f>(J661/(R.*H661)-G661)</f>
        <v>9.9422647678467424E-2</v>
      </c>
      <c r="L661">
        <f>a.*kc./G.*K661</f>
        <v>8.5278255358550784E-2</v>
      </c>
      <c r="M661">
        <f>a.*h./(L.*Cpw.)*(H661-I661)+a.*lambda.*kc./(L.*Cpw.)*K661</f>
        <v>0.48248597604549903</v>
      </c>
      <c r="N661">
        <f>a.*kc./G.*(H661-I661)</f>
        <v>0.4904926224801559</v>
      </c>
    </row>
    <row r="662" spans="5:14" x14ac:dyDescent="0.25">
      <c r="E662">
        <v>660</v>
      </c>
      <c r="F662">
        <f>dz.*E662</f>
        <v>15.006501401854242</v>
      </c>
      <c r="G662">
        <f>G661+L661*dz.</f>
        <v>3.6056092796809036</v>
      </c>
      <c r="H662">
        <f>H661+M661*dz.</f>
        <v>318.66557328549067</v>
      </c>
      <c r="I662">
        <f>I661+N661*dz.</f>
        <v>318.09390879442242</v>
      </c>
      <c r="J662">
        <f>(10^(AntA.-AntB./(AntC.+(H662-273.15)))*101325/760)</f>
        <v>9816.0970431567603</v>
      </c>
      <c r="K662">
        <f>(J662/(R.*H662)-G662)</f>
        <v>9.9437328477146369E-2</v>
      </c>
      <c r="L662">
        <f>a.*kc./G.*K662</f>
        <v>8.5290847589072127E-2</v>
      </c>
      <c r="M662">
        <f>a.*h./(L.*Cpw.)*(H662-I662)+a.*lambda.*kc./(L.*Cpw.)*K662</f>
        <v>0.48252538178781712</v>
      </c>
      <c r="N662">
        <f>a.*kc./G.*(H662-I662)</f>
        <v>0.49033647350041548</v>
      </c>
    </row>
    <row r="663" spans="5:14" x14ac:dyDescent="0.25">
      <c r="E663">
        <v>661</v>
      </c>
      <c r="F663">
        <f>dz.*E663</f>
        <v>15.029238525190385</v>
      </c>
      <c r="G663">
        <f>G662+L662*dz.</f>
        <v>3.6075485482019807</v>
      </c>
      <c r="H663">
        <f>H662+M662*dz.</f>
        <v>318.6765445246092</v>
      </c>
      <c r="I663">
        <f>I662+N662*dz.</f>
        <v>318.10505763529659</v>
      </c>
      <c r="J663">
        <f>(10^(AntA.-AntB./(AntC.+(H663-273.15)))*101325/760)</f>
        <v>9821.6139148063012</v>
      </c>
      <c r="K663">
        <f>(J663/(R.*H663)-G663)</f>
        <v>9.9452753908287672E-2</v>
      </c>
      <c r="L663">
        <f>a.*kc./G.*K663</f>
        <v>8.5304078516698786E-2</v>
      </c>
      <c r="M663">
        <f>a.*h./(L.*Cpw.)*(H663-I663)+a.*lambda.*kc./(L.*Cpw.)*K663</f>
        <v>0.4825684206710173</v>
      </c>
      <c r="N663">
        <f>a.*kc./G.*(H663-I663)</f>
        <v>0.49018413831096841</v>
      </c>
    </row>
    <row r="664" spans="5:14" x14ac:dyDescent="0.25">
      <c r="E664">
        <v>662</v>
      </c>
      <c r="F664">
        <f>dz.*E664</f>
        <v>15.051975648526529</v>
      </c>
      <c r="G664">
        <f>G663+L663*dz.</f>
        <v>3.6094881175562907</v>
      </c>
      <c r="H664">
        <f>H663+M663*dz.</f>
        <v>318.68751674230811</v>
      </c>
      <c r="I664">
        <f>I663+N663*dz.</f>
        <v>318.11620301250679</v>
      </c>
      <c r="J664">
        <f>(10^(AntA.-AntB./(AntC.+(H664-273.15)))*101325/760)</f>
        <v>9827.1339451914118</v>
      </c>
      <c r="K664">
        <f>(J664/(R.*H664)-G664)</f>
        <v>9.9468924701438866E-2</v>
      </c>
      <c r="L664">
        <f>a.*kc./G.*K664</f>
        <v>8.531794876718897E-2</v>
      </c>
      <c r="M664">
        <f>a.*h./(L.*Cpw.)*(H664-I664)+a.*lambda.*kc./(L.*Cpw.)*K664</f>
        <v>0.48261509524343482</v>
      </c>
      <c r="N664">
        <f>a.*kc./G.*(H664-I664)</f>
        <v>0.49003561338866464</v>
      </c>
    </row>
    <row r="665" spans="5:14" x14ac:dyDescent="0.25">
      <c r="E665">
        <v>663</v>
      </c>
      <c r="F665">
        <f>dz.*E665</f>
        <v>15.074712771862671</v>
      </c>
      <c r="G665">
        <f>G664+L664*dz.</f>
        <v>3.611428002280197</v>
      </c>
      <c r="H665">
        <f>H664+M664*dz.</f>
        <v>318.69849002125255</v>
      </c>
      <c r="I665">
        <f>I664+N664*dz.</f>
        <v>318.1273450126875</v>
      </c>
      <c r="J665">
        <f>(10^(AntA.-AntB./(AntC.+(H665-273.15)))*101325/760)</f>
        <v>9832.6571777059708</v>
      </c>
      <c r="K665">
        <f>(J665/(R.*H665)-G665)</f>
        <v>9.948584160877072E-2</v>
      </c>
      <c r="L665">
        <f>a.*kc./G.*K665</f>
        <v>8.5332458985705656E-2</v>
      </c>
      <c r="M665">
        <f>a.*h./(L.*Cpw.)*(H665-I665)+a.*lambda.*kc./(L.*Cpw.)*K665</f>
        <v>0.48266540816415637</v>
      </c>
      <c r="N665">
        <f>a.*kc./G.*(H665-I665)</f>
        <v>0.48989089532888153</v>
      </c>
    </row>
    <row r="666" spans="5:14" x14ac:dyDescent="0.25">
      <c r="E666">
        <v>664</v>
      </c>
      <c r="F666">
        <f>dz.*E666</f>
        <v>15.097449895198814</v>
      </c>
      <c r="G666">
        <f>G665+L665*dz.</f>
        <v>3.6133682169247314</v>
      </c>
      <c r="H666">
        <f>H665+M665*dz.</f>
        <v>318.70946444416808</v>
      </c>
      <c r="I666">
        <f>I665+N665*dz.</f>
        <v>318.13848372239585</v>
      </c>
      <c r="J666">
        <f>(10^(AntA.-AntB./(AntC.+(H666-273.15)))*101325/760)</f>
        <v>9838.183655855777</v>
      </c>
      <c r="K666">
        <f>(J666/(R.*H666)-G666)</f>
        <v>9.9503505405161619E-2</v>
      </c>
      <c r="L666">
        <f>a.*kc./G.*K666</f>
        <v>8.5347609836888952E-2</v>
      </c>
      <c r="M666">
        <f>a.*h./(L.*Cpw.)*(H666-I666)+a.*lambda.*kc./(L.*Cpw.)*K666</f>
        <v>0.48271936220331724</v>
      </c>
      <c r="N666">
        <f>a.*kc./G.*(H666-I666)</f>
        <v>0.48974998084513338</v>
      </c>
    </row>
    <row r="667" spans="5:14" x14ac:dyDescent="0.25">
      <c r="E667">
        <v>665</v>
      </c>
      <c r="F667">
        <f>dz.*E667</f>
        <v>15.120187018534956</v>
      </c>
      <c r="G667">
        <f>G666+L666*dz.</f>
        <v>3.6153087760560378</v>
      </c>
      <c r="H667">
        <f>H666+M666*dz.</f>
        <v>318.72044009384325</v>
      </c>
      <c r="I667">
        <f>I666+N666*dz.</f>
        <v>318.1496192281142</v>
      </c>
      <c r="J667">
        <f>(10^(AntA.-AntB./(AntC.+(H667-273.15)))*101325/760)</f>
        <v>9843.7134232598801</v>
      </c>
      <c r="K667">
        <f>(J667/(R.*H667)-G667)</f>
        <v>9.9521916888216655E-2</v>
      </c>
      <c r="L667">
        <f>a.*kc./G.*K667</f>
        <v>8.5363402004872385E-2</v>
      </c>
      <c r="M667">
        <f>a.*h./(L.*Cpw.)*(H667-I667)+a.*lambda.*kc./(L.*Cpw.)*K667</f>
        <v>0.48277696024218747</v>
      </c>
      <c r="N667">
        <f>a.*kc./G.*(H667-I667)</f>
        <v>0.48961286676912069</v>
      </c>
    </row>
    <row r="668" spans="5:14" x14ac:dyDescent="0.25">
      <c r="E668">
        <v>666</v>
      </c>
      <c r="F668">
        <f>dz.*E668</f>
        <v>15.142924141871099</v>
      </c>
      <c r="G668">
        <f>G667+L667*dz.</f>
        <v>3.6172496942558152</v>
      </c>
      <c r="H668">
        <f>H667+M667*dz.</f>
        <v>318.73141705313213</v>
      </c>
      <c r="I668">
        <f>I667+N667*dz.</f>
        <v>318.16075161625292</v>
      </c>
      <c r="J668">
        <f>(10^(AntA.-AntB./(AntC.+(H668-273.15)))*101325/760)</f>
        <v>9849.2465236521257</v>
      </c>
      <c r="K668">
        <f>(J668/(R.*H668)-G668)</f>
        <v>9.9541076878367551E-2</v>
      </c>
      <c r="L668">
        <f>a.*kc./G.*K668</f>
        <v>8.5379836193368752E-2</v>
      </c>
      <c r="M668">
        <f>a.*h./(L.*Cpw.)*(H668-I668)+a.*lambda.*kc./(L.*Cpw.)*K668</f>
        <v>0.48283820527355431</v>
      </c>
      <c r="N668">
        <f>a.*kc./G.*(H668-I668)</f>
        <v>0.48947955005048588</v>
      </c>
    </row>
    <row r="669" spans="5:14" x14ac:dyDescent="0.25">
      <c r="E669">
        <v>667</v>
      </c>
      <c r="F669">
        <f>dz.*E669</f>
        <v>15.165661265207243</v>
      </c>
      <c r="G669">
        <f>G668+L668*dz.</f>
        <v>3.6191909861217635</v>
      </c>
      <c r="H669">
        <f>H668+M668*dz.</f>
        <v>318.74239540495682</v>
      </c>
      <c r="I669">
        <f>I668+N668*dz.</f>
        <v>318.17188097315295</v>
      </c>
      <c r="J669">
        <f>(10^(AntA.-AntB./(AntC.+(H669-273.15)))*101325/760)</f>
        <v>9854.7830008826058</v>
      </c>
      <c r="K669">
        <f>(J669/(R.*H669)-G669)</f>
        <v>9.956098621892906E-2</v>
      </c>
      <c r="L669">
        <f>a.*kc./G.*K669</f>
        <v>8.5396913125718371E-2</v>
      </c>
      <c r="M669">
        <f>a.*h./(L.*Cpw.)*(H669-I669)+a.*lambda.*kc./(L.*Cpw.)*K669</f>
        <v>0.48290310040195022</v>
      </c>
      <c r="N669">
        <f>a.*kc./G.*(H669-I669)</f>
        <v>0.48935002775676495</v>
      </c>
    </row>
    <row r="670" spans="5:14" x14ac:dyDescent="0.25">
      <c r="E670">
        <v>668</v>
      </c>
      <c r="F670">
        <f>dz.*E670</f>
        <v>15.188398388543385</v>
      </c>
      <c r="G670">
        <f>G669+L669*dz.</f>
        <v>3.621132666268029</v>
      </c>
      <c r="H670">
        <f>H669+M669*dz.</f>
        <v>318.75337523231008</v>
      </c>
      <c r="I670">
        <f>I669+N669*dz.</f>
        <v>318.18300738508862</v>
      </c>
      <c r="J670">
        <f>(10^(AntA.-AntB./(AntC.+(H670-273.15)))*101325/760)</f>
        <v>9860.3228989191339</v>
      </c>
      <c r="K670">
        <f>(J670/(R.*H670)-G670)</f>
        <v>9.9581645776170458E-2</v>
      </c>
      <c r="L670">
        <f>a.*kc./G.*K670</f>
        <v>8.541463354495045E-2</v>
      </c>
      <c r="M670">
        <f>a.*h./(L.*Cpw.)*(H670-I670)+a.*lambda.*kc./(L.*Cpw.)*K670</f>
        <v>0.4829716488439304</v>
      </c>
      <c r="N670">
        <f>a.*kc./G.*(H670-I670)</f>
        <v>0.48922429707324089</v>
      </c>
    </row>
    <row r="671" spans="5:14" x14ac:dyDescent="0.25">
      <c r="E671">
        <v>669</v>
      </c>
      <c r="F671">
        <f>dz.*E671</f>
        <v>15.211135511879528</v>
      </c>
      <c r="G671">
        <f>G670+L670*dz.</f>
        <v>3.6230747493256521</v>
      </c>
      <c r="H671">
        <f>H670+M670*dz.</f>
        <v>318.76435661825769</v>
      </c>
      <c r="I671">
        <f>I670+N670*dz.</f>
        <v>318.19413093827023</v>
      </c>
      <c r="J671">
        <f>(10^(AntA.-AntB./(AntC.+(H671-273.15)))*101325/760)</f>
        <v>9865.8662618486287</v>
      </c>
      <c r="K671">
        <f>(J671/(R.*H671)-G671)</f>
        <v>9.9603056439347526E-2</v>
      </c>
      <c r="L671">
        <f>a.*kc./G.*K671</f>
        <v>8.5432998213810563E-2</v>
      </c>
      <c r="M671">
        <f>a.*h./(L.*Cpw.)*(H671-I671)+a.*lambda.*kc./(L.*Cpw.)*K671</f>
        <v>0.48304385392817895</v>
      </c>
      <c r="N671">
        <f>a.*kc./G.*(H671-I671)</f>
        <v>0.48910235530274881</v>
      </c>
    </row>
    <row r="672" spans="5:14" x14ac:dyDescent="0.25">
      <c r="E672">
        <v>670</v>
      </c>
      <c r="F672">
        <f>dz.*E672</f>
        <v>15.23387263521567</v>
      </c>
      <c r="G672">
        <f>G671+L671*dz.</f>
        <v>3.6250172499430158</v>
      </c>
      <c r="H672">
        <f>H671+M671*dz.</f>
        <v>318.77533964594124</v>
      </c>
      <c r="I672">
        <f>I671+N671*dz.</f>
        <v>318.20525171884674</v>
      </c>
      <c r="J672">
        <f>(10^(AntA.-AntB./(AntC.+(H672-273.15)))*101325/760)</f>
        <v>9871.4131338787884</v>
      </c>
      <c r="K672">
        <f>(J672/(R.*H672)-G672)</f>
        <v>9.9625219120844211E-2</v>
      </c>
      <c r="L672">
        <f>a.*kc./G.*K672</f>
        <v>8.5452007914882055E-2</v>
      </c>
      <c r="M672">
        <f>a.*h./(L.*Cpw.)*(H672-I672)+a.*lambda.*kc./(L.*Cpw.)*K672</f>
        <v>0.4831197190961124</v>
      </c>
      <c r="N672">
        <f>a.*kc./G.*(H672-I672)</f>
        <v>0.48898419986577346</v>
      </c>
    </row>
    <row r="673" spans="5:14" x14ac:dyDescent="0.25">
      <c r="E673">
        <v>671</v>
      </c>
      <c r="F673">
        <f>dz.*E673</f>
        <v>15.256609758551814</v>
      </c>
      <c r="G673">
        <f>G672+L672*dz.</f>
        <v>3.6269601827862976</v>
      </c>
      <c r="H673">
        <f>H672+M672*dz.</f>
        <v>318.78632439858046</v>
      </c>
      <c r="I673">
        <f>I672+N672*dz.</f>
        <v>318.21636981290851</v>
      </c>
      <c r="J673">
        <f>(10^(AntA.-AntB./(AntC.+(H673-273.15)))*101325/760)</f>
        <v>9876.9635593393814</v>
      </c>
      <c r="K673">
        <f>(J673/(R.*H673)-G673)</f>
        <v>9.9648134756159745E-2</v>
      </c>
      <c r="L673">
        <f>a.*kc./G.*K673</f>
        <v>8.5471663450575108E-2</v>
      </c>
      <c r="M673">
        <f>a.*h./(L.*Cpw.)*(H673-I673)+a.*lambda.*kc./(L.*Cpw.)*K673</f>
        <v>0.48319924790177166</v>
      </c>
      <c r="N673">
        <f>a.*kc./G.*(H673-I673)</f>
        <v>0.48886982830005915</v>
      </c>
    </row>
    <row r="674" spans="5:14" x14ac:dyDescent="0.25">
      <c r="E674">
        <v>672</v>
      </c>
      <c r="F674">
        <f>dz.*E674</f>
        <v>15.279346881887957</v>
      </c>
      <c r="G674">
        <f>G673+L673*dz.</f>
        <v>3.6289035625399184</v>
      </c>
      <c r="H674">
        <f>H673+M673*dz.</f>
        <v>318.79731095947591</v>
      </c>
      <c r="I674">
        <f>I673+N673*dz.</f>
        <v>318.22748530648988</v>
      </c>
      <c r="J674">
        <f>(10^(AntA.-AntB./(AntC.+(H674-273.15)))*101325/760)</f>
        <v>9882.5175826838386</v>
      </c>
      <c r="K674">
        <f>(J674/(R.*H674)-G674)</f>
        <v>9.9671804304025891E-2</v>
      </c>
      <c r="L674">
        <f>a.*kc./G.*K674</f>
        <v>8.5491965643227211E-2</v>
      </c>
      <c r="M674">
        <f>a.*h./(L.*Cpw.)*(H674-I674)+a.*lambda.*kc./(L.*Cpw.)*K674</f>
        <v>0.48328244401233117</v>
      </c>
      <c r="N674">
        <f>a.*kc./G.*(H674-I674)</f>
        <v>0.48875923826075607</v>
      </c>
    </row>
    <row r="675" spans="5:14" x14ac:dyDescent="0.25">
      <c r="E675">
        <v>673</v>
      </c>
      <c r="F675">
        <f>dz.*E675</f>
        <v>15.302084005224099</v>
      </c>
      <c r="G675">
        <f>G674+L674*dz.</f>
        <v>3.6308474039069978</v>
      </c>
      <c r="H675">
        <f>H674+M674*dz.</f>
        <v>318.80829941201159</v>
      </c>
      <c r="I675">
        <f>I674+N674*dz.</f>
        <v>318.23859828557187</v>
      </c>
      <c r="J675">
        <f>(10^(AntA.-AntB./(AntC.+(H675-273.15)))*101325/760)</f>
        <v>9888.075248490919</v>
      </c>
      <c r="K675">
        <f>(J675/(R.*H675)-G675)</f>
        <v>9.9696228746526394E-2</v>
      </c>
      <c r="L675">
        <f>a.*kc./G.*K675</f>
        <v>8.5512915335205678E-2</v>
      </c>
      <c r="M675">
        <f>a.*h./(L.*Cpw.)*(H675-I675)+a.*lambda.*kc./(L.*Cpw.)*K675</f>
        <v>0.48336931120858245</v>
      </c>
      <c r="N675">
        <f>a.*kc./G.*(H675-I675)</f>
        <v>0.48865242752032256</v>
      </c>
    </row>
    <row r="676" spans="5:14" x14ac:dyDescent="0.25">
      <c r="E676">
        <v>674</v>
      </c>
      <c r="F676">
        <f>dz.*E676</f>
        <v>15.324821128560242</v>
      </c>
      <c r="G676">
        <f>G675+L675*dz.</f>
        <v>3.6327917216098076</v>
      </c>
      <c r="H676">
        <f>H675+M675*dz.</f>
        <v>318.81928983965747</v>
      </c>
      <c r="I676">
        <f>I675+N675*dz.</f>
        <v>318.24970883608489</v>
      </c>
      <c r="J676">
        <f>(10^(AntA.-AntB./(AntC.+(H676-273.15)))*101325/760)</f>
        <v>9893.6366014659507</v>
      </c>
      <c r="K676">
        <f>(J676/(R.*H676)-G676)</f>
        <v>9.9721409089074342E-2</v>
      </c>
      <c r="L676">
        <f>a.*kc./G.*K676</f>
        <v>8.553451338888822E-2</v>
      </c>
      <c r="M676">
        <f>a.*h./(L.*Cpw.)*(H676-I676)+a.*lambda.*kc./(L.*Cpw.)*K676</f>
        <v>0.48345985338481312</v>
      </c>
      <c r="N676">
        <f>a.*kc./G.*(H676-I676)</f>
        <v>0.48854939396833041</v>
      </c>
    </row>
    <row r="677" spans="5:14" x14ac:dyDescent="0.25">
      <c r="E677">
        <v>675</v>
      </c>
      <c r="F677">
        <f>dz.*E677</f>
        <v>15.347558251896384</v>
      </c>
      <c r="G677">
        <f>G676+L676*dz.</f>
        <v>3.6347365303902275</v>
      </c>
      <c r="H677">
        <f>H676+M676*dz.</f>
        <v>318.83028232597195</v>
      </c>
      <c r="I677">
        <f>I676+N676*dz.</f>
        <v>318.26081704391135</v>
      </c>
      <c r="J677">
        <f>(10^(AntA.-AntB./(AntC.+(H677-273.15)))*101325/760)</f>
        <v>9899.2016864425332</v>
      </c>
      <c r="K677">
        <f>(J677/(R.*H677)-G677)</f>
        <v>9.9747346360553379E-2</v>
      </c>
      <c r="L677">
        <f>a.*kc./G.*K677</f>
        <v>8.5556760686784042E-2</v>
      </c>
      <c r="M677">
        <f>a.*h./(L.*Cpw.)*(H677-I677)+a.*lambda.*kc./(L.*Cpw.)*K677</f>
        <v>0.48355407454938781</v>
      </c>
      <c r="N677">
        <f>a.*kc./G.*(H677-I677)</f>
        <v>0.48845013561141587</v>
      </c>
    </row>
    <row r="678" spans="5:14" x14ac:dyDescent="0.25">
      <c r="E678">
        <v>676</v>
      </c>
      <c r="F678">
        <f>dz.*E678</f>
        <v>15.370295375232528</v>
      </c>
      <c r="G678">
        <f>G677+L677*dz.</f>
        <v>3.6366818450102039</v>
      </c>
      <c r="H678">
        <f>H677+M677*dz.</f>
        <v>318.84127695460467</v>
      </c>
      <c r="I678">
        <f>I677+N677*dz.</f>
        <v>318.27192299488831</v>
      </c>
      <c r="J678">
        <f>(10^(AntA.-AntB./(AntC.+(H678-273.15)))*101325/760)</f>
        <v>9904.7705483841037</v>
      </c>
      <c r="K678">
        <f>(J678/(R.*H678)-G678)</f>
        <v>9.9774041613401199E-2</v>
      </c>
      <c r="L678">
        <f>a.*kc./G.*K678</f>
        <v>8.5579658131605452E-2</v>
      </c>
      <c r="M678">
        <f>a.*h./(L.*Cpw.)*(H678-I678)+a.*lambda.*kc./(L.*Cpw.)*K678</f>
        <v>0.48365197882510319</v>
      </c>
      <c r="N678">
        <f>a.*kc./G.*(H678-I678)</f>
        <v>0.48835465057332855</v>
      </c>
    </row>
    <row r="679" spans="5:14" x14ac:dyDescent="0.25">
      <c r="E679">
        <v>677</v>
      </c>
      <c r="F679">
        <f>dz.*E679</f>
        <v>15.393032498568671</v>
      </c>
      <c r="G679">
        <f>G678+L678*dz.</f>
        <v>3.6386276802522071</v>
      </c>
      <c r="H679">
        <f>H678+M678*dz.</f>
        <v>318.85227380929899</v>
      </c>
      <c r="I679">
        <f>I678+N678*dz.</f>
        <v>318.2830267748102</v>
      </c>
      <c r="J679">
        <f>(10^(AntA.-AntB./(AntC.+(H679-273.15)))*101325/760)</f>
        <v>9910.343232385414</v>
      </c>
      <c r="K679">
        <f>(J679/(R.*H679)-G679)</f>
        <v>9.9801495923669492E-2</v>
      </c>
      <c r="L679">
        <f>a.*kc./G.*K679</f>
        <v>8.5603206646319374E-2</v>
      </c>
      <c r="M679">
        <f>a.*h./(L.*Cpw.)*(H679-I679)+a.*lambda.*kc./(L.*Cpw.)*K679</f>
        <v>0.48375357044942396</v>
      </c>
      <c r="N679">
        <f>a.*kc./G.*(H679-I679)</f>
        <v>0.4882629370948337</v>
      </c>
    </row>
    <row r="680" spans="5:14" x14ac:dyDescent="0.25">
      <c r="E680">
        <v>678</v>
      </c>
      <c r="F680">
        <f>dz.*E680</f>
        <v>15.415769621904813</v>
      </c>
      <c r="G680">
        <f>G679+L679*dz.</f>
        <v>3.6405740509196938</v>
      </c>
      <c r="H680">
        <f>H679+M679*dz.</f>
        <v>318.8632729738946</v>
      </c>
      <c r="I680">
        <f>I679+N679*dz.</f>
        <v>318.29412846943137</v>
      </c>
      <c r="J680">
        <f>(10^(AntA.-AntB./(AntC.+(H680-273.15)))*101325/760)</f>
        <v>9915.9197836740641</v>
      </c>
      <c r="K680">
        <f>(J680/(R.*H680)-G680)</f>
        <v>9.9829710391090565E-2</v>
      </c>
      <c r="L680">
        <f>a.*kc./G.*K680</f>
        <v>8.5627407174204334E-2</v>
      </c>
      <c r="M680">
        <f>a.*h./(L.*Cpw.)*(H680-I680)+a.*lambda.*kc./(L.*Cpw.)*K680</f>
        <v>0.4838588537747468</v>
      </c>
      <c r="N680">
        <f>a.*kc./G.*(H680-I680)</f>
        <v>0.48817499353361493</v>
      </c>
    </row>
    <row r="681" spans="5:14" x14ac:dyDescent="0.25">
      <c r="E681">
        <v>679</v>
      </c>
      <c r="F681">
        <f>dz.*E681</f>
        <v>15.438506745240955</v>
      </c>
      <c r="G681">
        <f>G680+L680*dz.</f>
        <v>3.642520971837568</v>
      </c>
      <c r="H681">
        <f>H680+M680*dz.</f>
        <v>318.87427453233016</v>
      </c>
      <c r="I681">
        <f>I680+N680*dz.</f>
        <v>318.30522816446899</v>
      </c>
      <c r="J681">
        <f>(10^(AntA.-AntB./(AntC.+(H681-273.15)))*101325/760)</f>
        <v>9921.500247612179</v>
      </c>
      <c r="K681">
        <f>(J681/(R.*H681)-G681)</f>
        <v>9.9858686139204345E-2</v>
      </c>
      <c r="L681">
        <f>a.*kc./G.*K681</f>
        <v>8.5652260678959535E-2</v>
      </c>
      <c r="M681">
        <f>a.*h./(L.*Cpw.)*(H681-I681)+a.*lambda.*kc./(L.*Cpw.)*K681</f>
        <v>0.48396783326892251</v>
      </c>
      <c r="N681">
        <f>a.*kc./G.*(H681-I681)</f>
        <v>0.48809081836422541</v>
      </c>
    </row>
    <row r="682" spans="5:14" x14ac:dyDescent="0.25">
      <c r="E682">
        <v>680</v>
      </c>
      <c r="F682">
        <f>dz.*E682</f>
        <v>15.461243868577098</v>
      </c>
      <c r="G682">
        <f>G681+L681*dz.</f>
        <v>3.6444684578526449</v>
      </c>
      <c r="H682">
        <f>H681+M681*dz.</f>
        <v>318.8852785686459</v>
      </c>
      <c r="I682">
        <f>I681+N681*dz.</f>
        <v>318.3163259456054</v>
      </c>
      <c r="J682">
        <f>(10^(AntA.-AntB./(AntC.+(H682-273.15)))*101325/760)</f>
        <v>9927.0846696979261</v>
      </c>
      <c r="K682">
        <f>(J682/(R.*H682)-G682)</f>
        <v>9.9888424315420554E-2</v>
      </c>
      <c r="L682">
        <f>a.*kc./G.*K682</f>
        <v>8.5677768144758124E-2</v>
      </c>
      <c r="M682">
        <f>a.*h./(L.*Cpw.)*(H682-I682)+a.*lambda.*kc./(L.*Cpw.)*K682</f>
        <v>0.48408051351552206</v>
      </c>
      <c r="N682">
        <f>a.*kc./G.*(H682-I682)</f>
        <v>0.4880104101781364</v>
      </c>
    </row>
    <row r="683" spans="5:14" x14ac:dyDescent="0.25">
      <c r="E683">
        <v>681</v>
      </c>
      <c r="F683">
        <f>dz.*E683</f>
        <v>15.483980991913242</v>
      </c>
      <c r="G683">
        <f>G682+L682*dz.</f>
        <v>3.6464165238341177</v>
      </c>
      <c r="H683">
        <f>H682+M682*dz.</f>
        <v>318.89628516698633</v>
      </c>
      <c r="I683">
        <f>I682+N682*dz.</f>
        <v>318.32742189849097</v>
      </c>
      <c r="J683">
        <f>(10^(AntA.-AntB./(AntC.+(H683-273.15)))*101325/760)</f>
        <v>9932.6730955670882</v>
      </c>
      <c r="K683">
        <f>(J683/(R.*H683)-G683)</f>
        <v>9.991892609109998E-2</v>
      </c>
      <c r="L683">
        <f>a.*kc./G.*K683</f>
        <v>8.5703930576316895E-2</v>
      </c>
      <c r="M683">
        <f>a.*h./(L.*Cpw.)*(H683-I683)+a.*lambda.*kc./(L.*Cpw.)*K683</f>
        <v>0.48419689921417502</v>
      </c>
      <c r="N683">
        <f>a.*kc./G.*(H683-I683)</f>
        <v>0.48793376768373758</v>
      </c>
    </row>
    <row r="684" spans="5:14" x14ac:dyDescent="0.25">
      <c r="E684">
        <v>682</v>
      </c>
      <c r="F684">
        <f>dz.*E684</f>
        <v>15.506718115249384</v>
      </c>
      <c r="G684">
        <f>G683+L683*dz.</f>
        <v>3.6483651846740237</v>
      </c>
      <c r="H684">
        <f>H683+M683*dz.</f>
        <v>318.90729441160272</v>
      </c>
      <c r="I684">
        <f>I683+N683*dz.</f>
        <v>318.33851610874666</v>
      </c>
      <c r="J684">
        <f>(10^(AntA.-AntB./(AntC.+(H684-273.15)))*101325/760)</f>
        <v>9938.2655709946976</v>
      </c>
      <c r="K684">
        <f>(J684/(R.*H684)-G684)</f>
        <v>9.9950192661653947E-2</v>
      </c>
      <c r="L684">
        <f>a.*kc./G.*K684</f>
        <v>8.5730748998981615E-2</v>
      </c>
      <c r="M684">
        <f>a.*h./(L.*Cpw.)*(H684-I684)+a.*lambda.*kc./(L.*Cpw.)*K684</f>
        <v>0.48431699518096333</v>
      </c>
      <c r="N684">
        <f>a.*kc./G.*(H684-I684)</f>
        <v>0.48786088970619051</v>
      </c>
    </row>
    <row r="685" spans="5:14" x14ac:dyDescent="0.25">
      <c r="E685">
        <v>683</v>
      </c>
      <c r="F685">
        <f>dz.*E685</f>
        <v>15.529455238585527</v>
      </c>
      <c r="G685">
        <f>G684+L684*dz.</f>
        <v>3.6503144552877136</v>
      </c>
      <c r="H685">
        <f>H684+M684*dz.</f>
        <v>318.91830638685593</v>
      </c>
      <c r="I685">
        <f>I684+N684*dz.</f>
        <v>318.34960866196678</v>
      </c>
      <c r="J685">
        <f>(10^(AntA.-AntB./(AntC.+(H685-273.15)))*101325/760)</f>
        <v>9943.8621418966522</v>
      </c>
      <c r="K685">
        <f>(J685/(R.*H685)-G685)</f>
        <v>9.9982225246641132E-2</v>
      </c>
      <c r="L685">
        <f>a.*kc./G.*K685</f>
        <v>8.5758224458810109E-2</v>
      </c>
      <c r="M685">
        <f>a.*h./(L.*Cpw.)*(H685-I685)+a.*lambda.*kc./(L.*Cpw.)*K685</f>
        <v>0.48444080634883857</v>
      </c>
      <c r="N685">
        <f>a.*kc./G.*(H685-I685)</f>
        <v>0.48779177518752642</v>
      </c>
    </row>
    <row r="686" spans="5:14" x14ac:dyDescent="0.25">
      <c r="E686">
        <v>684</v>
      </c>
      <c r="F686">
        <f>dz.*E686</f>
        <v>15.552192361921669</v>
      </c>
      <c r="G686">
        <f>G685+L685*dz.</f>
        <v>3.6522643506143222</v>
      </c>
      <c r="H686">
        <f>H685+M685*dz.</f>
        <v>318.92932117721892</v>
      </c>
      <c r="I686">
        <f>I685+N685*dz.</f>
        <v>318.3606996437216</v>
      </c>
      <c r="J686">
        <f>(10^(AntA.-AntB./(AntC.+(H686-273.15)))*101325/760)</f>
        <v>9949.4628543313029</v>
      </c>
      <c r="K686">
        <f>(J686/(R.*H686)-G686)</f>
        <v>0.10001502508984528</v>
      </c>
      <c r="L686">
        <f>a.*kc./G.*K686</f>
        <v>8.5786358022638842E-2</v>
      </c>
      <c r="M686">
        <f>a.*h./(L.*Cpw.)*(H686-I686)+a.*lambda.*kc./(L.*Cpw.)*K686</f>
        <v>0.48456833776793184</v>
      </c>
      <c r="N686">
        <f>a.*kc./G.*(H686-I686)</f>
        <v>0.4877264231865483</v>
      </c>
    </row>
    <row r="687" spans="5:14" x14ac:dyDescent="0.25">
      <c r="E687">
        <v>685</v>
      </c>
      <c r="F687">
        <f>dz.*E687</f>
        <v>15.574929485257812</v>
      </c>
      <c r="G687">
        <f>G686+L686*dz.</f>
        <v>3.6542148856172414</v>
      </c>
      <c r="H687">
        <f>H686+M686*dz.</f>
        <v>318.94033886727954</v>
      </c>
      <c r="I687">
        <f>I686+N686*dz.</f>
        <v>318.37178913955989</v>
      </c>
      <c r="J687">
        <f>(10^(AntA.-AntB./(AntC.+(H687-273.15)))*101325/760)</f>
        <v>9955.0677545011404</v>
      </c>
      <c r="K687">
        <f>(J687/(R.*H687)-G687)</f>
        <v>0.10004859345939021</v>
      </c>
      <c r="L687">
        <f>a.*kc./G.*K687</f>
        <v>8.5815150778181623E-2</v>
      </c>
      <c r="M687">
        <f>a.*h./(L.*Cpw.)*(H687-I687)+a.*lambda.*kc./(L.*Cpw.)*K687</f>
        <v>0.48469959460606032</v>
      </c>
      <c r="N687">
        <f>a.*kc./G.*(H687-I687)</f>
        <v>0.48766483287902634</v>
      </c>
    </row>
    <row r="688" spans="5:14" x14ac:dyDescent="0.25">
      <c r="E688">
        <v>686</v>
      </c>
      <c r="F688">
        <f>dz.*E688</f>
        <v>15.597666608593956</v>
      </c>
      <c r="G688">
        <f>G687+L687*dz.</f>
        <v>3.6561660752845948</v>
      </c>
      <c r="H688">
        <f>H687+M687*dz.</f>
        <v>318.95135954174305</v>
      </c>
      <c r="I688">
        <f>I687+N687*dz.</f>
        <v>318.38287723501179</v>
      </c>
      <c r="J688">
        <f>(10^(AntA.-AntB./(AntC.+(H688-273.15)))*101325/760)</f>
        <v>9960.6768887543112</v>
      </c>
      <c r="K688">
        <f>(J688/(R.*H688)-G688)</f>
        <v>0.10008293164779047</v>
      </c>
      <c r="L688">
        <f>a.*kc./G.*K688</f>
        <v>8.5844603834073052E-2</v>
      </c>
      <c r="M688">
        <f>a.*h./(L.*Cpw.)*(H688-I688)+a.*lambda.*kc./(L.*Cpw.)*K688</f>
        <v>0.48483458214890379</v>
      </c>
      <c r="N688">
        <f>a.*kc./G.*(H688-I688)</f>
        <v>0.48760700355745396</v>
      </c>
    </row>
    <row r="689" spans="5:14" x14ac:dyDescent="0.25">
      <c r="E689">
        <v>687</v>
      </c>
      <c r="F689">
        <f>dz.*E689</f>
        <v>15.620403731930098</v>
      </c>
      <c r="G689">
        <f>G688+L688*dz.</f>
        <v>3.6581179346297126</v>
      </c>
      <c r="H689">
        <f>H688+M688*dz.</f>
        <v>318.96238328543501</v>
      </c>
      <c r="I689">
        <f>I688+N688*dz.</f>
        <v>318.39396401559122</v>
      </c>
      <c r="J689">
        <f>(10^(AntA.-AntB./(AntC.+(H689-273.15)))*101325/760)</f>
        <v>9966.2903035865002</v>
      </c>
      <c r="K689">
        <f>(J689/(R.*H689)-G689)</f>
        <v>0.10011804097213339</v>
      </c>
      <c r="L689">
        <f>a.*kc./G.*K689</f>
        <v>8.5874718320024634E-2</v>
      </c>
      <c r="M689">
        <f>a.*h./(L.*Cpw.)*(H689-I689)+a.*lambda.*kc./(L.*Cpw.)*K689</f>
        <v>0.48497330580081099</v>
      </c>
      <c r="N689">
        <f>a.*kc./G.*(H689-I689)</f>
        <v>0.48755293463138893</v>
      </c>
    </row>
    <row r="690" spans="5:14" x14ac:dyDescent="0.25">
      <c r="E690">
        <v>688</v>
      </c>
      <c r="F690">
        <f>dz.*E690</f>
        <v>15.643140855266241</v>
      </c>
      <c r="G690">
        <f>G689+L689*dz.</f>
        <v>3.6600704786916114</v>
      </c>
      <c r="H690">
        <f>H689+M689*dz.</f>
        <v>318.97341018330371</v>
      </c>
      <c r="I690">
        <f>I689+N689*dz.</f>
        <v>318.40504956679882</v>
      </c>
      <c r="J690">
        <f>(10^(AntA.-AntB./(AntC.+(H690-273.15)))*101325/760)</f>
        <v>9971.9080456422744</v>
      </c>
      <c r="K690">
        <f>(J690/(R.*H690)-G690)</f>
        <v>0.10015392277406132</v>
      </c>
      <c r="L690">
        <f>a.*kc./G.*K690</f>
        <v>8.5905495386809569E-2</v>
      </c>
      <c r="M690">
        <f>a.*h./(L.*Cpw.)*(H690-I690)+a.*lambda.*kc./(L.*Cpw.)*K690</f>
        <v>0.4851157710846713</v>
      </c>
      <c r="N690">
        <f>a.*kc./G.*(H690-I690)</f>
        <v>0.4875026256270637</v>
      </c>
    </row>
    <row r="691" spans="5:14" x14ac:dyDescent="0.25">
      <c r="E691">
        <v>689</v>
      </c>
      <c r="F691">
        <f>dz.*E691</f>
        <v>15.665877978602383</v>
      </c>
      <c r="G691">
        <f>G690+L690*dz.</f>
        <v>3.6620237225354737</v>
      </c>
      <c r="H691">
        <f>H690+M690*dz.</f>
        <v>318.98444032042318</v>
      </c>
      <c r="I691">
        <f>I690+N690*dz.</f>
        <v>318.41613397412442</v>
      </c>
      <c r="J691">
        <f>(10^(AntA.-AntB./(AntC.+(H691-273.15)))*101325/760)</f>
        <v>9977.5301617171117</v>
      </c>
      <c r="K691">
        <f>(J691/(R.*H691)-G691)</f>
        <v>0.10019057842000256</v>
      </c>
      <c r="L691">
        <f>a.*kc./G.*K691</f>
        <v>8.5936936206460826E-2</v>
      </c>
      <c r="M691">
        <f>a.*h./(L.*Cpw.)*(H691-I691)+a.*lambda.*kc./(L.*Cpw.)*K691</f>
        <v>0.48526198364293749</v>
      </c>
      <c r="N691">
        <f>a.*kc./G.*(H691-I691)</f>
        <v>0.48745607618782399</v>
      </c>
    </row>
    <row r="692" spans="5:14" x14ac:dyDescent="0.25">
      <c r="E692">
        <v>690</v>
      </c>
      <c r="F692">
        <f>dz.*E692</f>
        <v>15.688615101938527</v>
      </c>
      <c r="G692">
        <f>G691+L691*dz.</f>
        <v>3.6639776812531304</v>
      </c>
      <c r="H692">
        <f>H691+M691*dz.</f>
        <v>318.9954737819956</v>
      </c>
      <c r="I692">
        <f>I691+N691*dz.</f>
        <v>318.42721732304966</v>
      </c>
      <c r="J692">
        <f>(10^(AntA.-AntB./(AntC.+(H692-273.15)))*101325/760)</f>
        <v>9983.1566987587757</v>
      </c>
      <c r="K692">
        <f>(J692/(R.*H692)-G692)</f>
        <v>0.10022800930116205</v>
      </c>
      <c r="L692">
        <f>a.*kc./G.*K692</f>
        <v>8.5969041972263169E-2</v>
      </c>
      <c r="M692">
        <f>a.*h./(L.*Cpw.)*(H692-I692)+a.*lambda.*kc./(L.*Cpw.)*K692</f>
        <v>0.48541194923756709</v>
      </c>
      <c r="N692">
        <f>a.*kc./G.*(H692-I692)</f>
        <v>0.48741328607398238</v>
      </c>
    </row>
    <row r="693" spans="5:14" x14ac:dyDescent="0.25">
      <c r="E693">
        <v>691</v>
      </c>
      <c r="F693">
        <f>dz.*E693</f>
        <v>15.71135222527467</v>
      </c>
      <c r="G693">
        <f>G692+L692*dz.</f>
        <v>3.665932369963544</v>
      </c>
      <c r="H693">
        <f>H692+M692*dz.</f>
        <v>319.00651065335427</v>
      </c>
      <c r="I693">
        <f>I692+N692*dz.</f>
        <v>318.43829969905079</v>
      </c>
      <c r="J693">
        <f>(10^(AntA.-AntB./(AntC.+(H693-273.15)))*101325/760)</f>
        <v>9988.787703869235</v>
      </c>
      <c r="K693">
        <f>(J693/(R.*H693)-G693)</f>
        <v>0.10026621683370474</v>
      </c>
      <c r="L693">
        <f>a.*kc./G.*K693</f>
        <v>8.6001813898910442E-2</v>
      </c>
      <c r="M693">
        <f>a.*h./(L.*Cpw.)*(H693-I693)+a.*lambda.*kc./(L.*Cpw.)*K693</f>
        <v>0.48556567375079934</v>
      </c>
      <c r="N693">
        <f>a.*kc./G.*(H693-I693)</f>
        <v>0.48737425516291621</v>
      </c>
    </row>
    <row r="694" spans="5:14" x14ac:dyDescent="0.25">
      <c r="E694">
        <v>692</v>
      </c>
      <c r="F694">
        <f>dz.*E694</f>
        <v>15.734089348610812</v>
      </c>
      <c r="G694">
        <f>G693+L693*dz.</f>
        <v>3.6678878038132954</v>
      </c>
      <c r="H694">
        <f>H693+M693*dz.</f>
        <v>319.01755101996616</v>
      </c>
      <c r="I694">
        <f>I693+N693*dz.</f>
        <v>318.44938118760126</v>
      </c>
      <c r="J694">
        <f>(10^(AntA.-AntB./(AntC.+(H694-273.15)))*101325/760)</f>
        <v>9994.4232243062361</v>
      </c>
      <c r="K694">
        <f>(J694/(R.*H694)-G694)</f>
        <v>0.10030520245881736</v>
      </c>
      <c r="L694">
        <f>a.*kc./G.*K694</f>
        <v>8.6035253222558492E-2</v>
      </c>
      <c r="M694">
        <f>a.*h./(L.*Cpw.)*(H694-I694)+a.*lambda.*kc./(L.*Cpw.)*K694</f>
        <v>0.48572316318541264</v>
      </c>
      <c r="N694">
        <f>a.*kc./G.*(H694-I694)</f>
        <v>0.48733898344906712</v>
      </c>
    </row>
    <row r="695" spans="5:14" x14ac:dyDescent="0.25">
      <c r="E695">
        <v>693</v>
      </c>
      <c r="F695">
        <f>dz.*E695</f>
        <v>15.756826471946955</v>
      </c>
      <c r="G695">
        <f>G694+L694*dz.</f>
        <v>3.6698439979770732</v>
      </c>
      <c r="H695">
        <f>H694+M694*dz.</f>
        <v>319.02859496743474</v>
      </c>
      <c r="I695">
        <f>I694+N694*dz.</f>
        <v>318.46046187417443</v>
      </c>
      <c r="J695">
        <f>(10^(AntA.-AntB./(AntC.+(H695-273.15)))*101325/760)</f>
        <v>10000.063307485061</v>
      </c>
      <c r="K695">
        <f>(J695/(R.*H695)-G695)</f>
        <v>0.10034496764282608</v>
      </c>
      <c r="L695">
        <f>a.*kc./G.*K695</f>
        <v>8.6069361200926175E-2</v>
      </c>
      <c r="M695">
        <f>a.*h./(L.*Cpw.)*(H695-I695)+a.*lambda.*kc./(L.*Cpw.)*K695</f>
        <v>0.4858844236652286</v>
      </c>
      <c r="N695">
        <f>a.*kc./G.*(H695-I695)</f>
        <v>0.48730747104403899</v>
      </c>
    </row>
    <row r="696" spans="5:14" x14ac:dyDescent="0.25">
      <c r="E696">
        <v>694</v>
      </c>
      <c r="F696">
        <f>dz.*E696</f>
        <v>15.779563595283097</v>
      </c>
      <c r="G696">
        <f>G695+L695*dz.</f>
        <v>3.6718009676581618</v>
      </c>
      <c r="H696">
        <f>H695+M695*dz.</f>
        <v>319.03964258150273</v>
      </c>
      <c r="I696">
        <f>I695+N695*dz.</f>
        <v>318.47154184424619</v>
      </c>
      <c r="J696">
        <f>(10^(AntA.-AntB./(AntC.+(H696-273.15)))*101325/760)</f>
        <v>10005.708000980308</v>
      </c>
      <c r="K696">
        <f>(J696/(R.*H696)-G696)</f>
        <v>0.10038551387732797</v>
      </c>
      <c r="L696">
        <f>a.*kc./G.*K696</f>
        <v>8.6104139113408071E-2</v>
      </c>
      <c r="M696">
        <f>a.*h./(L.*Cpw.)*(H696-I696)+a.*lambda.*kc./(L.*Cpw.)*K696</f>
        <v>0.48604946143567274</v>
      </c>
      <c r="N696">
        <f>a.*kc./G.*(H696-I696)</f>
        <v>0.48727971817669508</v>
      </c>
    </row>
    <row r="697" spans="5:14" x14ac:dyDescent="0.25">
      <c r="E697">
        <v>695</v>
      </c>
      <c r="F697">
        <f>dz.*E697</f>
        <v>15.802300718619241</v>
      </c>
      <c r="G697">
        <f>G696+L696*dz.</f>
        <v>3.6737587280889357</v>
      </c>
      <c r="H697">
        <f>H696+M696*dz.</f>
        <v>319.05069394805486</v>
      </c>
      <c r="I697">
        <f>I696+N696*dz.</f>
        <v>318.48262118329757</v>
      </c>
      <c r="J697">
        <f>(10^(AntA.-AntB./(AntC.+(H697-273.15)))*101325/760)</f>
        <v>10011.357352527577</v>
      </c>
      <c r="K697">
        <f>(J697/(R.*H697)-G697)</f>
        <v>0.10042684267928204</v>
      </c>
      <c r="L697">
        <f>a.*kc./G.*K697</f>
        <v>8.6139588261152561E-2</v>
      </c>
      <c r="M697">
        <f>a.*h./(L.*Cpw.)*(H697-I697)+a.*lambda.*kc./(L.*Cpw.)*K697</f>
        <v>0.48621828286417451</v>
      </c>
      <c r="N697">
        <f>a.*kc./G.*(H697-I697)</f>
        <v>0.48725572519330462</v>
      </c>
    </row>
    <row r="698" spans="5:14" x14ac:dyDescent="0.25">
      <c r="E698">
        <v>696</v>
      </c>
      <c r="F698">
        <f>dz.*E698</f>
        <v>15.825037841955384</v>
      </c>
      <c r="G698">
        <f>G697+L697*dz.</f>
        <v>3.6757172945313541</v>
      </c>
      <c r="H698">
        <f>H697+M697*dz.</f>
        <v>319.06174915312062</v>
      </c>
      <c r="I698">
        <f>I697+N697*dz.</f>
        <v>318.49369997681754</v>
      </c>
      <c r="J698">
        <f>(10^(AntA.-AntB./(AntC.+(H698-273.15)))*101325/760)</f>
        <v>10017.011410025201</v>
      </c>
      <c r="K698">
        <f>(J698/(R.*H698)-G698)</f>
        <v>0.10046895559111224</v>
      </c>
      <c r="L698">
        <f>a.*kc./G.*K698</f>
        <v>8.6175709967150196E-2</v>
      </c>
      <c r="M698">
        <f>a.*h./(L.*Cpw.)*(H698-I698)+a.*lambda.*kc./(L.*Cpw.)*K698</f>
        <v>0.48639089444058931</v>
      </c>
      <c r="N698">
        <f>a.*kc./G.*(H698-I698)</f>
        <v>0.48723549255749393</v>
      </c>
    </row>
    <row r="699" spans="5:14" x14ac:dyDescent="0.25">
      <c r="E699">
        <v>697</v>
      </c>
      <c r="F699">
        <f>dz.*E699</f>
        <v>15.847774965291526</v>
      </c>
      <c r="G699">
        <f>G698+L698*dz.</f>
        <v>3.6776766822774567</v>
      </c>
      <c r="H699">
        <f>H698+M698*dz.</f>
        <v>319.07280828287708</v>
      </c>
      <c r="I699">
        <f>I698+N698*dz.</f>
        <v>318.50477831030554</v>
      </c>
      <c r="J699">
        <f>(10^(AntA.-AntB./(AntC.+(H699-273.15)))*101325/760)</f>
        <v>10022.670221536115</v>
      </c>
      <c r="K699">
        <f>(J699/(R.*H699)-G699)</f>
        <v>0.10051185418086384</v>
      </c>
      <c r="L699">
        <f>a.*kc./G.*K699</f>
        <v>8.6212505576367823E-2</v>
      </c>
      <c r="M699">
        <f>a.*h./(L.*Cpw.)*(H699-I699)+a.*lambda.*kc./(L.*Cpw.)*K699</f>
        <v>0.48656730277788396</v>
      </c>
      <c r="N699">
        <f>a.*kc./G.*(H699-I699)</f>
        <v>0.48721902085049001</v>
      </c>
    </row>
    <row r="700" spans="5:14" x14ac:dyDescent="0.25">
      <c r="E700">
        <v>698</v>
      </c>
      <c r="F700">
        <f>dz.*E700</f>
        <v>15.870512088627668</v>
      </c>
      <c r="G700">
        <f>G699+L699*dz.</f>
        <v>3.6796369066498644</v>
      </c>
      <c r="H700">
        <f>H699+M699*dz.</f>
        <v>319.08387142365166</v>
      </c>
      <c r="I700">
        <f>I699+N699*dz.</f>
        <v>318.51585626927431</v>
      </c>
      <c r="J700">
        <f>(10^(AntA.-AntB./(AntC.+(H700-273.15)))*101325/760)</f>
        <v>10028.333835289532</v>
      </c>
      <c r="K700">
        <f>(J700/(R.*H700)-G700)</f>
        <v>0.10055554004227929</v>
      </c>
      <c r="L700">
        <f>a.*kc./G.*K700</f>
        <v>8.6249976455813657E-2</v>
      </c>
      <c r="M700">
        <f>a.*h./(L.*Cpw.)*(H700-I700)+a.*lambda.*kc./(L.*Cpw.)*K700</f>
        <v>0.48674751461244609</v>
      </c>
      <c r="N700">
        <f>a.*kc./G.*(H700-I700)</f>
        <v>0.48720631077107218</v>
      </c>
    </row>
    <row r="701" spans="5:14" x14ac:dyDescent="0.25">
      <c r="E701">
        <v>699</v>
      </c>
      <c r="F701">
        <f>dz.*E701</f>
        <v>15.893249211963811</v>
      </c>
      <c r="G701">
        <f>G700+L700*dz.</f>
        <v>3.6815979830022796</v>
      </c>
      <c r="H701">
        <f>H700+M700*dz.</f>
        <v>319.09493866192497</v>
      </c>
      <c r="I701">
        <f>I700+N700*dz.</f>
        <v>318.52693393925244</v>
      </c>
      <c r="J701">
        <f>(10^(AntA.-AntB./(AntC.+(H701-273.15)))*101325/760)</f>
        <v>10034.002299682803</v>
      </c>
      <c r="K701">
        <f>(J701/(R.*H701)-G701)</f>
        <v>0.10060001479494751</v>
      </c>
      <c r="L701">
        <f>a.*kc./G.*K701</f>
        <v>8.6288123994665317E-2</v>
      </c>
      <c r="M701">
        <f>a.*h./(L.*Cpw.)*(H701-I701)+a.*lambda.*kc./(L.*Cpw.)*K701</f>
        <v>0.48693153680473966</v>
      </c>
      <c r="N701">
        <f>a.*kc./G.*(H701-I701)</f>
        <v>0.48719736313581541</v>
      </c>
    </row>
    <row r="702" spans="5:14" x14ac:dyDescent="0.25">
      <c r="E702">
        <v>700</v>
      </c>
      <c r="F702">
        <f>dz.*E702</f>
        <v>15.915986335299955</v>
      </c>
      <c r="G702">
        <f>G701+L701*dz.</f>
        <v>3.6835599267199908</v>
      </c>
      <c r="H702">
        <f>H701+M701*dz.</f>
        <v>319.10601008433355</v>
      </c>
      <c r="I702">
        <f>I701+N701*dz.</f>
        <v>318.53801140578713</v>
      </c>
      <c r="J702">
        <f>(10^(AntA.-AntB./(AntC.+(H702-273.15)))*101325/760)</f>
        <v>10039.675663283189</v>
      </c>
      <c r="K702">
        <f>(J702/(R.*H702)-G702)</f>
        <v>0.10064528008441087</v>
      </c>
      <c r="L702">
        <f>a.*kc./G.*K702</f>
        <v>8.6326949604361589E-2</v>
      </c>
      <c r="M702">
        <f>a.*h./(L.*Cpw.)*(H702-I702)+a.*lambda.*kc./(L.*Cpw.)*K702</f>
        <v>0.48711937633975089</v>
      </c>
      <c r="N702">
        <f>a.*kc./G.*(H702-I702)</f>
        <v>0.48719217887909072</v>
      </c>
    </row>
    <row r="703" spans="5:14" x14ac:dyDescent="0.25">
      <c r="E703">
        <v>701</v>
      </c>
      <c r="F703">
        <f>dz.*E703</f>
        <v>15.938723458636098</v>
      </c>
      <c r="G703">
        <f>G702+L702*dz.</f>
        <v>3.6855227532203783</v>
      </c>
      <c r="H703">
        <f>H702+M702*dz.</f>
        <v>319.1170857776728</v>
      </c>
      <c r="I703">
        <f>I702+N702*dz.</f>
        <v>318.5490887544467</v>
      </c>
      <c r="J703">
        <f>(10^(AntA.-AntB./(AntC.+(H703-273.15)))*101325/760)</f>
        <v>10045.353974829633</v>
      </c>
      <c r="K703">
        <f>(J703/(R.*H703)-G703)</f>
        <v>0.10069133758227089</v>
      </c>
      <c r="L703">
        <f>a.*kc./G.*K703</f>
        <v>8.6366454718693142E-2</v>
      </c>
      <c r="M703">
        <f>a.*h./(L.*Cpw.)*(H703-I703)+a.*lambda.*kc./(L.*Cpw.)*K703</f>
        <v>0.48731104032747602</v>
      </c>
      <c r="N703">
        <f>a.*kc./G.*(H703-I703)</f>
        <v>0.48719075905340625</v>
      </c>
    </row>
    <row r="704" spans="5:14" x14ac:dyDescent="0.25">
      <c r="E704">
        <v>702</v>
      </c>
      <c r="F704">
        <f>dz.*E704</f>
        <v>15.96146058197224</v>
      </c>
      <c r="G704">
        <f>G703+L703*dz.</f>
        <v>3.6874864779534224</v>
      </c>
      <c r="H704">
        <f>H703+M703*dz.</f>
        <v>319.1281658288998</v>
      </c>
      <c r="I704">
        <f>I703+N703*dz.</f>
        <v>318.56016607082353</v>
      </c>
      <c r="J704">
        <f>(10^(AntA.-AntB./(AntC.+(H704-273.15)))*101325/760)</f>
        <v>10051.037283234728</v>
      </c>
      <c r="K704">
        <f>(J704/(R.*H704)-G704)</f>
        <v>0.10073818898636944</v>
      </c>
      <c r="L704">
        <f>a.*kc./G.*K704</f>
        <v>8.6406640793957837E-2</v>
      </c>
      <c r="M704">
        <f>a.*h./(L.*Cpw.)*(H704-I704)+a.*lambda.*kc./(L.*Cpw.)*K704</f>
        <v>0.48750653600366245</v>
      </c>
      <c r="N704">
        <f>a.*kc./G.*(H704-I704)</f>
        <v>0.48719310482930983</v>
      </c>
    </row>
    <row r="705" spans="5:14" x14ac:dyDescent="0.25">
      <c r="E705">
        <v>703</v>
      </c>
      <c r="F705">
        <f>dz.*E705</f>
        <v>15.984197705308382</v>
      </c>
      <c r="G705">
        <f>G704+L704*dz.</f>
        <v>3.6894511164022163</v>
      </c>
      <c r="H705">
        <f>H704+M704*dz.</f>
        <v>319.13925032513606</v>
      </c>
      <c r="I705">
        <f>I704+N704*dz.</f>
        <v>318.57124344053653</v>
      </c>
      <c r="J705">
        <f>(10^(AntA.-AntB./(AntC.+(H705-273.15)))*101325/760)</f>
        <v>10056.725637586376</v>
      </c>
      <c r="K705">
        <f>(J705/(R.*H705)-G705)</f>
        <v>0.10078583602084246</v>
      </c>
      <c r="L705">
        <f>a.*kc./G.*K705</f>
        <v>8.6447509309006923E-2</v>
      </c>
      <c r="M705">
        <f>a.*h./(L.*Cpw.)*(H705-I705)+a.*lambda.*kc./(L.*Cpw.)*K705</f>
        <v>0.4877058707300666</v>
      </c>
      <c r="N705">
        <f>a.*kc./G.*(H705-I705)</f>
        <v>0.48719921749563266</v>
      </c>
    </row>
    <row r="706" spans="5:14" x14ac:dyDescent="0.25">
      <c r="E706">
        <v>704</v>
      </c>
      <c r="F706">
        <f>dz.*E706</f>
        <v>16.006934828644525</v>
      </c>
      <c r="G706">
        <f>G705+L705*dz.</f>
        <v>3.6914166840834777</v>
      </c>
      <c r="H706">
        <f>H705+M705*dz.</f>
        <v>319.15033935367063</v>
      </c>
      <c r="I706">
        <f>I705+N705*dz.</f>
        <v>318.58232094923403</v>
      </c>
      <c r="J706">
        <f>(10^(AntA.-AntB./(AntC.+(H706-273.15)))*101325/760)</f>
        <v>10062.419087149821</v>
      </c>
      <c r="K706">
        <f>(J706/(R.*H706)-G706)</f>
        <v>0.1008342804363167</v>
      </c>
      <c r="L706">
        <f>a.*kc./G.*K706</f>
        <v>8.6489061765413724E-2</v>
      </c>
      <c r="M706">
        <f>a.*h./(L.*Cpw.)*(H706-I706)+a.*lambda.*kc./(L.*Cpw.)*K706</f>
        <v>0.48790905199530088</v>
      </c>
      <c r="N706">
        <f>a.*kc./G.*(H706-I706)</f>
        <v>0.48720909845968452</v>
      </c>
    </row>
    <row r="707" spans="5:14" x14ac:dyDescent="0.25">
      <c r="E707">
        <v>705</v>
      </c>
      <c r="F707">
        <f>dz.*E707</f>
        <v>16.029671951980667</v>
      </c>
      <c r="G707">
        <f>G706+L706*dz.</f>
        <v>3.6933831965480652</v>
      </c>
      <c r="H707">
        <f>H706+M706*dz.</f>
        <v>319.16143300196268</v>
      </c>
      <c r="I707">
        <f>I706+N706*dz.</f>
        <v>318.59339868259622</v>
      </c>
      <c r="J707">
        <f>(10^(AntA.-AntB./(AntC.+(H707-273.15)))*101325/760)</f>
        <v>10068.117681369384</v>
      </c>
      <c r="K707">
        <f>(J707/(R.*H707)-G707)</f>
        <v>0.10088352400999501</v>
      </c>
      <c r="L707">
        <f>a.*kc./G.*K707</f>
        <v>8.6531299687546789E-2</v>
      </c>
      <c r="M707">
        <f>a.*h./(L.*Cpw.)*(H707-I707)+a.*lambda.*kc./(L.*Cpw.)*K707</f>
        <v>0.48811608741520168</v>
      </c>
      <c r="N707">
        <f>a.*kc./G.*(H707-I707)</f>
        <v>0.48722274924735109</v>
      </c>
    </row>
    <row r="708" spans="5:14" x14ac:dyDescent="0.25">
      <c r="E708">
        <v>706</v>
      </c>
      <c r="F708">
        <f>dz.*E708</f>
        <v>16.05240907531681</v>
      </c>
      <c r="G708">
        <f>G707+L707*dz.</f>
        <v>3.6953506693814977</v>
      </c>
      <c r="H708">
        <f>H707+M707*dz.</f>
        <v>319.17253135764457</v>
      </c>
      <c r="I708">
        <f>I707+N707*dz.</f>
        <v>318.60447672633802</v>
      </c>
      <c r="J708">
        <f>(10^(AntA.-AntB./(AntC.+(H708-273.15)))*101325/760)</f>
        <v>10073.821469870387</v>
      </c>
      <c r="K708">
        <f>(J708/(R.*H708)-G708)</f>
        <v>0.1009335685458006</v>
      </c>
      <c r="L708">
        <f>a.*kc./G.*K708</f>
        <v>8.657422462269368E-2</v>
      </c>
      <c r="M708">
        <f>a.*h./(L.*Cpw.)*(H708-I708)+a.*lambda.*kc./(L.*Cpw.)*K708</f>
        <v>0.4883269847334587</v>
      </c>
      <c r="N708">
        <f>a.*kc./G.*(H708-I708)</f>
        <v>0.48724017150328908</v>
      </c>
    </row>
    <row r="709" spans="5:14" x14ac:dyDescent="0.25">
      <c r="E709">
        <v>707</v>
      </c>
      <c r="F709">
        <f>dz.*E709</f>
        <v>16.075146198652956</v>
      </c>
      <c r="G709">
        <f>G708+L708*dz.</f>
        <v>3.6973191182044749</v>
      </c>
      <c r="H709">
        <f>H708+M708*dz.</f>
        <v>319.18363450852485</v>
      </c>
      <c r="I709">
        <f>I708+N708*dz.</f>
        <v>318.61555516621183</v>
      </c>
      <c r="J709">
        <f>(10^(AntA.-AntB./(AntC.+(H709-273.15)))*101325/760)</f>
        <v>10079.530502461139</v>
      </c>
      <c r="K709">
        <f>(J709/(R.*H709)-G709)</f>
        <v>0.10098441587454499</v>
      </c>
      <c r="L709">
        <f>a.*kc./G.*K709</f>
        <v>8.6617838141204939E-2</v>
      </c>
      <c r="M709">
        <f>a.*h./(L.*Cpw.)*(H709-I709)+a.*lambda.*kc./(L.*Cpw.)*K709</f>
        <v>0.48854175182234089</v>
      </c>
      <c r="N709">
        <f>a.*kc./G.*(H709-I709)</f>
        <v>0.48726136699112133</v>
      </c>
    </row>
    <row r="710" spans="5:14" x14ac:dyDescent="0.25">
      <c r="E710">
        <v>708</v>
      </c>
      <c r="F710">
        <f>dz.*E710</f>
        <v>16.097883321989098</v>
      </c>
      <c r="G710">
        <f>G709+L709*dz.</f>
        <v>3.6992885586734015</v>
      </c>
      <c r="H710">
        <f>H709+M709*dz.</f>
        <v>319.19474254259086</v>
      </c>
      <c r="I710">
        <f>I709+N709*dz.</f>
        <v>318.62663408801006</v>
      </c>
      <c r="J710">
        <f>(10^(AntA.-AntB./(AntC.+(H710-273.15)))*101325/760)</f>
        <v>10085.24482913465</v>
      </c>
      <c r="K710">
        <f>(J710/(R.*H710)-G710)</f>
        <v>0.1010360678539981</v>
      </c>
      <c r="L710">
        <f>a.*kc./G.*K710</f>
        <v>8.6662141836554338E-2</v>
      </c>
      <c r="M710">
        <f>a.*h./(L.*Cpw.)*(H710-I710)+a.*lambda.*kc./(L.*Cpw.)*K710</f>
        <v>0.4887603966830022</v>
      </c>
      <c r="N710">
        <f>a.*kc./G.*(H710-I710)</f>
        <v>0.48728633759353401</v>
      </c>
    </row>
    <row r="711" spans="5:14" x14ac:dyDescent="0.25">
      <c r="E711">
        <v>709</v>
      </c>
      <c r="F711">
        <f>dz.*E711</f>
        <v>16.12062044532524</v>
      </c>
      <c r="G711">
        <f>G710+L710*dz.</f>
        <v>3.7012590064809134</v>
      </c>
      <c r="H711">
        <f>H710+M710*dz.</f>
        <v>319.20585554801204</v>
      </c>
      <c r="I711">
        <f>I710+N710*dz.</f>
        <v>318.63771357756792</v>
      </c>
      <c r="J711">
        <f>(10^(AntA.-AntB./(AntC.+(H711-273.15)))*101325/760)</f>
        <v>10090.964500070731</v>
      </c>
      <c r="K711">
        <f>(J711/(R.*H711)-G711)</f>
        <v>0.1010885263690855</v>
      </c>
      <c r="L711">
        <f>a.*kc./G.*K711</f>
        <v>8.670713732550793E-2</v>
      </c>
      <c r="M711">
        <f>a.*h./(L.*Cpw.)*(H711-I711)+a.*lambda.*kc./(L.*Cpw.)*K711</f>
        <v>0.48898292744635768</v>
      </c>
      <c r="N711">
        <f>a.*kc./G.*(H711-I711)</f>
        <v>0.48731508531266721</v>
      </c>
    </row>
    <row r="712" spans="5:14" x14ac:dyDescent="0.25">
      <c r="E712">
        <v>710</v>
      </c>
      <c r="F712">
        <f>dz.*E712</f>
        <v>16.143357568661383</v>
      </c>
      <c r="G712">
        <f>G711+L711*dz.</f>
        <v>3.7032304773564073</v>
      </c>
      <c r="H712">
        <f>H711+M711*dz.</f>
        <v>319.21697361314267</v>
      </c>
      <c r="I712">
        <f>I711+N711*dz.</f>
        <v>318.64879372076626</v>
      </c>
      <c r="J712">
        <f>(10^(AntA.-AntB./(AntC.+(H712-273.15)))*101325/760)</f>
        <v>10096.689565637962</v>
      </c>
      <c r="K712">
        <f>(J712/(R.*H712)-G712)</f>
        <v>0.1011417933320482</v>
      </c>
      <c r="L712">
        <f>a.*kc./G.*K712</f>
        <v>8.6752826248261208E-2</v>
      </c>
      <c r="M712">
        <f>a.*h./(L.*Cpw.)*(H712-I712)+a.*lambda.*kc./(L.*Cpw.)*K712</f>
        <v>0.48920935237374247</v>
      </c>
      <c r="N712">
        <f>a.*kc./G.*(H712-I712)</f>
        <v>0.48734761227006557</v>
      </c>
    </row>
    <row r="713" spans="5:14" x14ac:dyDescent="0.25">
      <c r="E713">
        <v>711</v>
      </c>
      <c r="F713">
        <f>dz.*E713</f>
        <v>16.166094691997525</v>
      </c>
      <c r="G713">
        <f>G712+L712*dz.</f>
        <v>3.7052029870665728</v>
      </c>
      <c r="H713">
        <f>H712+M712*dz.</f>
        <v>319.22809682652479</v>
      </c>
      <c r="I713">
        <f>I712+N712*dz.</f>
        <v>318.65987460353404</v>
      </c>
      <c r="J713">
        <f>(10^(AntA.-AntB./(AntC.+(H713-273.15)))*101325/760)</f>
        <v>10102.420076395361</v>
      </c>
      <c r="K713">
        <f>(J713/(R.*H713)-G713)</f>
        <v>0.10119587068247426</v>
      </c>
      <c r="L713">
        <f>a.*kc./G.*K713</f>
        <v>8.6799210268466154E-2</v>
      </c>
      <c r="M713">
        <f>a.*h./(L.*Cpw.)*(H713-I713)+a.*lambda.*kc./(L.*Cpw.)*K713</f>
        <v>0.4894396798570973</v>
      </c>
      <c r="N713">
        <f>a.*kc./G.*(H713-I713)</f>
        <v>0.48738392070706882</v>
      </c>
    </row>
    <row r="714" spans="5:14" x14ac:dyDescent="0.25">
      <c r="E714">
        <v>712</v>
      </c>
      <c r="F714">
        <f>dz.*E714</f>
        <v>16.188831815333668</v>
      </c>
      <c r="G714">
        <f>G713+L713*dz.</f>
        <v>3.7071765514159267</v>
      </c>
      <c r="H714">
        <f>H713+M713*dz.</f>
        <v>319.23922527689132</v>
      </c>
      <c r="I714">
        <f>I713+N713*dz.</f>
        <v>318.67095631185123</v>
      </c>
      <c r="J714">
        <f>(10^(AntA.-AntB./(AntC.+(H714-273.15)))*101325/760)</f>
        <v>10108.156083094731</v>
      </c>
      <c r="K714">
        <f>(J714/(R.*H714)-G714)</f>
        <v>0.10125076038759095</v>
      </c>
      <c r="L714">
        <f>a.*kc./G.*K714</f>
        <v>8.6846291073481879E-2</v>
      </c>
      <c r="M714">
        <f>a.*h./(L.*Cpw.)*(H714-I714)+a.*lambda.*kc./(L.*Cpw.)*K714</f>
        <v>0.48967391842020652</v>
      </c>
      <c r="N714">
        <f>a.*kc./G.*(H714-I714)</f>
        <v>0.48742401298495774</v>
      </c>
    </row>
    <row r="715" spans="5:14" x14ac:dyDescent="0.25">
      <c r="E715">
        <v>713</v>
      </c>
      <c r="F715">
        <f>dz.*E715</f>
        <v>16.21156893866981</v>
      </c>
      <c r="G715">
        <f>G714+L714*dz.</f>
        <v>3.7091511862473512</v>
      </c>
      <c r="H715">
        <f>H714+M714*dz.</f>
        <v>319.25035905316895</v>
      </c>
      <c r="I715">
        <f>I714+N714*dz.</f>
        <v>318.68203893175149</v>
      </c>
      <c r="J715">
        <f>(10^(AntA.-AntB./(AntC.+(H715-273.15)))*101325/760)</f>
        <v>10113.897636682308</v>
      </c>
      <c r="K715">
        <f>(J715/(R.*H715)-G715)</f>
        <v>0.10130646444228431</v>
      </c>
      <c r="L715">
        <f>a.*kc./G.*K715</f>
        <v>8.6894070374391355E-2</v>
      </c>
      <c r="M715">
        <f>a.*h./(L.*Cpw.)*(H715-I715)+a.*lambda.*kc./(L.*Cpw.)*K715</f>
        <v>0.48991207671881309</v>
      </c>
      <c r="N715">
        <f>a.*kc./G.*(H715-I715)</f>
        <v>0.48746789158519815</v>
      </c>
    </row>
    <row r="716" spans="5:14" x14ac:dyDescent="0.25">
      <c r="E716">
        <v>714</v>
      </c>
      <c r="F716">
        <f>dz.*E716</f>
        <v>16.234306062005952</v>
      </c>
      <c r="G716">
        <f>G715+L715*dz.</f>
        <v>3.7111269074426332</v>
      </c>
      <c r="H716">
        <f>H715+M715*dz.</f>
        <v>319.26149824448117</v>
      </c>
      <c r="I716">
        <f>I715+N715*dz.</f>
        <v>318.69312254932487</v>
      </c>
      <c r="J716">
        <f>(10^(AntA.-AntB./(AntC.+(H716-273.15)))*101325/760)</f>
        <v>10119.644788301013</v>
      </c>
      <c r="K716">
        <f>(J716/(R.*H716)-G716)</f>
        <v>0.10136298486934958</v>
      </c>
      <c r="L716">
        <f>a.*kc./G.*K716</f>
        <v>8.6942549906216277E-2</v>
      </c>
      <c r="M716">
        <f>a.*h./(L.*Cpw.)*(H716-I716)+a.*lambda.*kc./(L.*Cpw.)*K716</f>
        <v>0.49015416354169616</v>
      </c>
      <c r="N716">
        <f>a.*kc./G.*(H716-I716)</f>
        <v>0.48751555910968458</v>
      </c>
    </row>
    <row r="717" spans="5:14" x14ac:dyDescent="0.25">
      <c r="E717">
        <v>715</v>
      </c>
      <c r="F717">
        <f>dz.*E717</f>
        <v>16.257043185342095</v>
      </c>
      <c r="G717">
        <f>G716+L716*dz.</f>
        <v>3.7131037309230095</v>
      </c>
      <c r="H717">
        <f>H716+M716*dz.</f>
        <v>319.27264294015134</v>
      </c>
      <c r="I717">
        <f>I716+N716*dz.</f>
        <v>318.70420725072063</v>
      </c>
      <c r="J717">
        <f>(10^(AntA.-AntB./(AntC.+(H717-273.15)))*101325/760)</f>
        <v>10125.397589292284</v>
      </c>
      <c r="K717">
        <f>(J717/(R.*H717)-G717)</f>
        <v>0.10142032371956855</v>
      </c>
      <c r="L717">
        <f>a.*kc./G.*K717</f>
        <v>8.699173142798336E-2</v>
      </c>
      <c r="M717">
        <f>a.*h./(L.*Cpw.)*(H717-I717)+a.*lambda.*kc./(L.*Cpw.)*K717</f>
        <v>0.49040018781102002</v>
      </c>
      <c r="N717">
        <f>a.*kc./G.*(H717-I717)</f>
        <v>0.48756701828093535</v>
      </c>
    </row>
    <row r="718" spans="5:14" x14ac:dyDescent="0.25">
      <c r="E718">
        <v>716</v>
      </c>
      <c r="F718">
        <f>dz.*E718</f>
        <v>16.279780308678241</v>
      </c>
      <c r="G718">
        <f>G717+L717*dz.</f>
        <v>3.715081672649712</v>
      </c>
      <c r="H718">
        <f>H717+M717*dz.</f>
        <v>319.28379322970568</v>
      </c>
      <c r="I718">
        <f>I717+N717*dz.</f>
        <v>318.71529312214994</v>
      </c>
      <c r="J718">
        <f>(10^(AntA.-AntB./(AntC.+(H718-273.15)))*101325/760)</f>
        <v>10131.156091198229</v>
      </c>
      <c r="K718">
        <f>(J718/(R.*H718)-G718)</f>
        <v>0.10147848307191865</v>
      </c>
      <c r="L718">
        <f>a.*kc./G.*K718</f>
        <v>8.7041616722903684E-2</v>
      </c>
      <c r="M718">
        <f>a.*h./(L.*Cpw.)*(H718-I718)+a.*lambda.*kc./(L.*Cpw.)*K718</f>
        <v>0.49065015858324601</v>
      </c>
      <c r="N718">
        <f>a.*kc./G.*(H718-I718)</f>
        <v>0.48762227194238494</v>
      </c>
    </row>
    <row r="719" spans="5:14" x14ac:dyDescent="0.25">
      <c r="E719">
        <v>717</v>
      </c>
      <c r="F719">
        <f>dz.*E719</f>
        <v>16.302517432014383</v>
      </c>
      <c r="G719">
        <f>G718+L718*dz.</f>
        <v>3.717060748624518</v>
      </c>
      <c r="H719">
        <f>H718+M718*dz.</f>
        <v>319.2949492028763</v>
      </c>
      <c r="I719">
        <f>I718+N718*dz.</f>
        <v>318.72638024988856</v>
      </c>
      <c r="J719">
        <f>(10^(AntA.-AntB./(AntC.+(H719-273.15)))*101325/760)</f>
        <v>10136.920345763576</v>
      </c>
      <c r="K719">
        <f>(J719/(R.*H719)-G719)</f>
        <v>0.10153746503368932</v>
      </c>
      <c r="L719">
        <f>a.*kc./G.*K719</f>
        <v>8.709220759847254E-2</v>
      </c>
      <c r="M719">
        <f>a.*h./(L.*Cpw.)*(H719-I719)+a.*lambda.*kc./(L.*Cpw.)*K719</f>
        <v>0.49090408504965838</v>
      </c>
      <c r="N719">
        <f>a.*kc./G.*(H719-I719)</f>
        <v>0.4876813230586769</v>
      </c>
    </row>
    <row r="720" spans="5:14" x14ac:dyDescent="0.25">
      <c r="E720">
        <v>718</v>
      </c>
      <c r="F720">
        <f>dz.*E720</f>
        <v>16.325254555350526</v>
      </c>
      <c r="G720">
        <f>G719+L719*dz.</f>
        <v>3.7190409748903015</v>
      </c>
      <c r="H720">
        <f>H719+M719*dz.</f>
        <v>319.30611094960426</v>
      </c>
      <c r="I720">
        <f>I719+N719*dz.</f>
        <v>318.73746872027971</v>
      </c>
      <c r="J720">
        <f>(10^(AntA.-AntB./(AntC.+(H720-273.15)))*101325/760)</f>
        <v>10142.690404937763</v>
      </c>
      <c r="K720">
        <f>(J720/(R.*H720)-G720)</f>
        <v>0.10159727174065658</v>
      </c>
      <c r="L720">
        <f>a.*kc./G.*K720</f>
        <v>8.7143505886619135E-2</v>
      </c>
      <c r="M720">
        <f>a.*h./(L.*Cpw.)*(H720-I720)+a.*lambda.*kc./(L.*Cpw.)*K720</f>
        <v>0.49116197653711113</v>
      </c>
      <c r="N720">
        <f>a.*kc./G.*(H720-I720)</f>
        <v>0.48774417471580966</v>
      </c>
    </row>
    <row r="721" spans="5:14" x14ac:dyDescent="0.25">
      <c r="E721">
        <v>719</v>
      </c>
      <c r="F721">
        <f>dz.*E721</f>
        <v>16.347991678686668</v>
      </c>
      <c r="G721">
        <f>G720+L720*dz.</f>
        <v>3.7210223675315897</v>
      </c>
      <c r="H721">
        <f>H720+M720*dz.</f>
        <v>319.31727856004278</v>
      </c>
      <c r="I721">
        <f>I720+N720*dz.</f>
        <v>318.74855861973668</v>
      </c>
      <c r="J721">
        <f>(10^(AntA.-AntB./(AntC.+(H721-273.15)))*101325/760)</f>
        <v>10148.466320877036</v>
      </c>
      <c r="K721">
        <f>(J721/(R.*H721)-G721)</f>
        <v>0.10165790535725128</v>
      </c>
      <c r="L721">
        <f>a.*kc./G.*K721</f>
        <v>8.7195513443850944E-2</v>
      </c>
      <c r="M721">
        <f>a.*h./(L.*Cpw.)*(H721-I721)+a.*lambda.*kc./(L.*Cpw.)*K721</f>
        <v>0.49142384250879767</v>
      </c>
      <c r="N721">
        <f>a.*kc./G.*(H721-I721)</f>
        <v>0.48781083012162452</v>
      </c>
    </row>
    <row r="722" spans="5:14" x14ac:dyDescent="0.25">
      <c r="E722">
        <v>720</v>
      </c>
      <c r="F722">
        <f>dz.*E722</f>
        <v>16.370728802022811</v>
      </c>
      <c r="G722">
        <f>G721+L721*dz.</f>
        <v>3.7230049426751206</v>
      </c>
      <c r="H722">
        <f>H721+M721*dz.</f>
        <v>319.32845212456021</v>
      </c>
      <c r="I722">
        <f>I721+N721*dz.</f>
        <v>318.75965003474585</v>
      </c>
      <c r="J722">
        <f>(10^(AntA.-AntB./(AntC.+(H722-273.15)))*101325/760)</f>
        <v>10154.248145946538</v>
      </c>
      <c r="K722">
        <f>(J722/(R.*H722)-G722)</f>
        <v>0.10171936807672255</v>
      </c>
      <c r="L722">
        <f>a.*kc./G.*K722</f>
        <v>8.7248232151393837E-2</v>
      </c>
      <c r="M722">
        <f>a.*h./(L.*Cpw.)*(H722-I722)+a.*lambda.*kc./(L.*Cpw.)*K722</f>
        <v>0.49168969256493766</v>
      </c>
      <c r="N722">
        <f>a.*kc./G.*(H722-I722)</f>
        <v>0.48788129260585406</v>
      </c>
    </row>
    <row r="723" spans="5:14" x14ac:dyDescent="0.25">
      <c r="E723">
        <v>721</v>
      </c>
      <c r="F723">
        <f>dz.*E723</f>
        <v>16.393465925358953</v>
      </c>
      <c r="G723">
        <f>G722+L722*dz.</f>
        <v>3.7249887164904072</v>
      </c>
      <c r="H723">
        <f>H722+M722*dz.</f>
        <v>319.33963173374315</v>
      </c>
      <c r="I723">
        <f>I722+N722*dz.</f>
        <v>318.7707430518692</v>
      </c>
      <c r="J723">
        <f>(10^(AntA.-AntB./(AntC.+(H723-273.15)))*101325/760)</f>
        <v>10160.035932722345</v>
      </c>
      <c r="K723">
        <f>(J723/(R.*H723)-G723)</f>
        <v>0.10178166212127548</v>
      </c>
      <c r="L723">
        <f>a.*kc./G.*K723</f>
        <v>8.7301663915310274E-2</v>
      </c>
      <c r="M723">
        <f>a.*h./(L.*Cpw.)*(H723-I723)+a.*lambda.*kc./(L.*Cpw.)*K723</f>
        <v>0.49195953644340568</v>
      </c>
      <c r="N723">
        <f>a.*kc./G.*(H723-I723)</f>
        <v>0.48795556562051245</v>
      </c>
    </row>
    <row r="724" spans="5:14" x14ac:dyDescent="0.25">
      <c r="E724">
        <v>722</v>
      </c>
      <c r="F724">
        <f>dz.*E724</f>
        <v>16.416203048695095</v>
      </c>
      <c r="G724">
        <f>G723+L723*dz.</f>
        <v>3.7269737051903</v>
      </c>
      <c r="H724">
        <f>H723+M723*dz.</f>
        <v>319.35081747839968</v>
      </c>
      <c r="I724">
        <f>I723+N723*dz.</f>
        <v>318.78183775774727</v>
      </c>
      <c r="J724">
        <f>(10^(AntA.-AntB./(AntC.+(H724-273.15)))*101325/760)</f>
        <v>10165.829733993698</v>
      </c>
      <c r="K724">
        <f>(J724/(R.*H724)-G724)</f>
        <v>0.10184478974228384</v>
      </c>
      <c r="L724">
        <f>a.*kc./G.*K724</f>
        <v>8.7355810666681633E-2</v>
      </c>
      <c r="M724">
        <f>a.*h./(L.*Cpw.)*(H724-I724)+a.*lambda.*kc./(L.*Cpw.)*K724</f>
        <v>0.49223338402067096</v>
      </c>
      <c r="N724">
        <f>a.*kc./G.*(H724-I724)</f>
        <v>0.48803365274028537</v>
      </c>
    </row>
    <row r="725" spans="5:14" x14ac:dyDescent="0.25">
      <c r="E725">
        <v>723</v>
      </c>
      <c r="F725">
        <f>dz.*E725</f>
        <v>16.438940172031238</v>
      </c>
      <c r="G725">
        <f>G724+L724*dz.</f>
        <v>3.7289599250315573</v>
      </c>
      <c r="H725">
        <f>H724+M724*dz.</f>
        <v>319.36200944956232</v>
      </c>
      <c r="I725">
        <f>I724+N724*dz.</f>
        <v>318.79293423910184</v>
      </c>
      <c r="J725">
        <f>(10^(AntA.-AntB./(AntC.+(H725-273.15)))*101325/760)</f>
        <v>10171.629602765002</v>
      </c>
      <c r="K725">
        <f>(J725/(R.*H725)-G725)</f>
        <v>0.10190875322040593</v>
      </c>
      <c r="L725">
        <f>a.*kc./G.*K725</f>
        <v>8.7410674361707713E-2</v>
      </c>
      <c r="M725">
        <f>a.*h./(L.*Cpw.)*(H725-I725)+a.*lambda.*kc./(L.*Cpw.)*K725</f>
        <v>0.49251124531229401</v>
      </c>
      <c r="N725">
        <f>a.*kc./G.*(H725-I725)</f>
        <v>0.48811555766262749</v>
      </c>
    </row>
    <row r="726" spans="5:14" x14ac:dyDescent="0.25">
      <c r="E726">
        <v>724</v>
      </c>
      <c r="F726">
        <f>dz.*E726</f>
        <v>16.46167729536738</v>
      </c>
      <c r="G726">
        <f>G725+L725*dz.</f>
        <v>3.7309473923154148</v>
      </c>
      <c r="H726">
        <f>H725+M725*dz.</f>
        <v>319.37320773849143</v>
      </c>
      <c r="I726">
        <f>I725+N725*dz.</f>
        <v>318.80403258273873</v>
      </c>
      <c r="J726">
        <f>(10^(AntA.-AntB./(AntC.+(H726-273.15)))*101325/760)</f>
        <v>10177.435592258142</v>
      </c>
      <c r="K726">
        <f>(J726/(R.*H726)-G726)</f>
        <v>0.1019735548658165</v>
      </c>
      <c r="L726">
        <f>a.*kc./G.*K726</f>
        <v>8.7466256981905549E-2</v>
      </c>
      <c r="M726">
        <f>a.*h./(L.*Cpw.)*(H726-I726)+a.*lambda.*kc./(L.*Cpw.)*K726</f>
        <v>0.49279313047397411</v>
      </c>
      <c r="N726">
        <f>a.*kc./G.*(H726-I726)</f>
        <v>0.48820128420834769</v>
      </c>
    </row>
    <row r="727" spans="5:14" x14ac:dyDescent="0.25">
      <c r="E727">
        <v>725</v>
      </c>
      <c r="F727">
        <f>dz.*E727</f>
        <v>16.484414418703523</v>
      </c>
      <c r="G727">
        <f>G726+L726*dz.</f>
        <v>3.7329361233881633</v>
      </c>
      <c r="H727">
        <f>H726+M726*dz.</f>
        <v>319.38441243667825</v>
      </c>
      <c r="I727">
        <f>I726+N726*dz.</f>
        <v>318.81513287555066</v>
      </c>
      <c r="J727">
        <f>(10^(AntA.-AntB./(AntC.+(H727-273.15)))*101325/760)</f>
        <v>10183.247755914486</v>
      </c>
      <c r="K727">
        <f>(J727/(R.*H727)-G727)</f>
        <v>0.10203919701831898</v>
      </c>
      <c r="L727">
        <f>a.*kc./G.*K727</f>
        <v>8.752256053420579E-2</v>
      </c>
      <c r="M727">
        <f>a.*h./(L.*Cpw.)*(H727-I727)+a.*lambda.*kc./(L.*Cpw.)*K727</f>
        <v>0.49307904980203726</v>
      </c>
      <c r="N727">
        <f>a.*kc./G.*(H727-I727)</f>
        <v>0.48829083632175524</v>
      </c>
    </row>
    <row r="728" spans="5:14" x14ac:dyDescent="0.25">
      <c r="E728">
        <v>726</v>
      </c>
      <c r="F728">
        <f>dz.*E728</f>
        <v>16.507151542039669</v>
      </c>
      <c r="G728">
        <f>G727+L727*dz.</f>
        <v>3.7349261346417246</v>
      </c>
      <c r="H728">
        <f>H727+M727*dz.</f>
        <v>319.39562363584804</v>
      </c>
      <c r="I728">
        <f>I727+N727*dz.</f>
        <v>318.82623520452</v>
      </c>
      <c r="J728">
        <f>(10^(AntA.-AntB./(AntC.+(H728-273.15)))*101325/760)</f>
        <v>10189.06614739724</v>
      </c>
      <c r="K728">
        <f>(J728/(R.*H728)-G728)</f>
        <v>0.10210568204758674</v>
      </c>
      <c r="L728">
        <f>a.*kc./G.*K728</f>
        <v>8.757958705115948E-2</v>
      </c>
      <c r="M728">
        <f>a.*h./(L.*Cpw.)*(H728-I728)+a.*lambda.*kc./(L.*Cpw.)*K728</f>
        <v>0.49336901373448855</v>
      </c>
      <c r="N728">
        <f>a.*kc./G.*(H728-I728)</f>
        <v>0.48838421807100107</v>
      </c>
    </row>
    <row r="729" spans="5:14" x14ac:dyDescent="0.25">
      <c r="E729">
        <v>727</v>
      </c>
      <c r="F729">
        <f>dz.*E729</f>
        <v>16.529888665375811</v>
      </c>
      <c r="G729">
        <f>G728+L728*dz.</f>
        <v>3.7369174425142351</v>
      </c>
      <c r="H729">
        <f>H728+M728*dz.</f>
        <v>319.40684142796357</v>
      </c>
      <c r="I729">
        <f>I728+N728*dz.</f>
        <v>318.83733965672172</v>
      </c>
      <c r="J729">
        <f>(10^(AntA.-AntB./(AntC.+(H729-273.15)))*101325/760)</f>
        <v>10194.89082059352</v>
      </c>
      <c r="K729">
        <f>(J729/(R.*H729)-G729)</f>
        <v>0.10217301235328913</v>
      </c>
      <c r="L729">
        <f>a.*kc./G.*K729</f>
        <v>8.7637338591046304E-2</v>
      </c>
      <c r="M729">
        <f>a.*h./(L.*Cpw.)*(H729-I729)+a.*lambda.*kc./(L.*Cpw.)*K729</f>
        <v>0.49366303285159835</v>
      </c>
      <c r="N729">
        <f>a.*kc./G.*(H729-I729)</f>
        <v>0.48848143364851665</v>
      </c>
    </row>
    <row r="730" spans="5:14" x14ac:dyDescent="0.25">
      <c r="E730">
        <v>728</v>
      </c>
      <c r="F730">
        <f>dz.*E730</f>
        <v>16.552625788711953</v>
      </c>
      <c r="G730">
        <f>G729+L729*dz.</f>
        <v>3.7389100634906312</v>
      </c>
      <c r="H730">
        <f>H729+M729*dz.</f>
        <v>319.41806590522799</v>
      </c>
      <c r="I730">
        <f>I729+N729*dz.</f>
        <v>318.848446319326</v>
      </c>
      <c r="J730">
        <f>(10^(AntA.-AntB./(AntC.+(H730-273.15)))*101325/760)</f>
        <v>10200.721829616647</v>
      </c>
      <c r="K730">
        <f>(J730/(R.*H730)-G730)</f>
        <v>0.10224119036530244</v>
      </c>
      <c r="L730">
        <f>a.*kc./G.*K730</f>
        <v>8.7695817238055501E-2</v>
      </c>
      <c r="M730">
        <f>a.*h./(L.*Cpw.)*(H730-I730)+a.*lambda.*kc./(L.*Cpw.)*K730</f>
        <v>0.49396111787681546</v>
      </c>
      <c r="N730">
        <f>a.*kc./G.*(H730-I730)</f>
        <v>0.48858248737125765</v>
      </c>
    </row>
    <row r="731" spans="5:14" x14ac:dyDescent="0.25">
      <c r="E731">
        <v>729</v>
      </c>
      <c r="F731">
        <f>dz.*E731</f>
        <v>16.575362912048096</v>
      </c>
      <c r="G731">
        <f>G730+L730*dz.</f>
        <v>3.7409040141032368</v>
      </c>
      <c r="H731">
        <f>H730+M730*dz.</f>
        <v>319.42929716008842</v>
      </c>
      <c r="I731">
        <f>I730+N730*dz.</f>
        <v>318.85955527960124</v>
      </c>
      <c r="J731">
        <f>(10^(AntA.-AntB./(AntC.+(H731-273.15)))*101325/760)</f>
        <v>10206.559228808428</v>
      </c>
      <c r="K731">
        <f>(J731/(R.*H731)-G731)</f>
        <v>0.10231021854390798</v>
      </c>
      <c r="L731">
        <f>a.*kc./G.*K731</f>
        <v>8.7755025102455739E-2</v>
      </c>
      <c r="M731">
        <f>a.*h./(L.*Cpw.)*(H731-I731)+a.*lambda.*kc./(L.*Cpw.)*K731</f>
        <v>0.49426327967765971</v>
      </c>
      <c r="N731">
        <f>a.*kc./G.*(H731-I731)</f>
        <v>0.48868738368119174</v>
      </c>
    </row>
    <row r="732" spans="5:14" x14ac:dyDescent="0.25">
      <c r="E732">
        <v>730</v>
      </c>
      <c r="F732">
        <f>dz.*E732</f>
        <v>16.598100035384238</v>
      </c>
      <c r="G732">
        <f>G731+L731*dz.</f>
        <v>3.7428993109323576</v>
      </c>
      <c r="H732">
        <f>H731+M731*dz.</f>
        <v>319.44053528523898</v>
      </c>
      <c r="I732">
        <f>I731+N731*dz.</f>
        <v>318.87066662491679</v>
      </c>
      <c r="J732">
        <f>(10^(AntA.-AntB./(AntC.+(H732-273.15)))*101325/760)</f>
        <v>10212.403072741241</v>
      </c>
      <c r="K732">
        <f>(J732/(R.*H732)-G732)</f>
        <v>0.10238009937991466</v>
      </c>
      <c r="L732">
        <f>a.*kc./G.*K732</f>
        <v>8.7814964320700253E-2</v>
      </c>
      <c r="M732">
        <f>a.*h./(L.*Cpw.)*(H732-I732)+a.*lambda.*kc./(L.*Cpw.)*K732</f>
        <v>0.49456952926626652</v>
      </c>
      <c r="N732">
        <f>a.*kc./G.*(H732-I732)</f>
        <v>0.4887961271455421</v>
      </c>
    </row>
    <row r="733" spans="5:14" x14ac:dyDescent="0.25">
      <c r="E733">
        <v>731</v>
      </c>
      <c r="F733">
        <f>dz.*E733</f>
        <v>16.620837158720381</v>
      </c>
      <c r="G733">
        <f>G732+L732*dz.</f>
        <v>3.7448959706068763</v>
      </c>
      <c r="H733">
        <f>H732+M732*dz.</f>
        <v>319.45178037362422</v>
      </c>
      <c r="I733">
        <f>I732+N732*dz.</f>
        <v>318.88178044274594</v>
      </c>
      <c r="J733">
        <f>(10^(AntA.-AntB./(AntC.+(H733-273.15)))*101325/760)</f>
        <v>10218.253416220552</v>
      </c>
      <c r="K733">
        <f>(J733/(R.*H733)-G733)</f>
        <v>0.10245083539493693</v>
      </c>
      <c r="L733">
        <f>a.*kc./G.*K733</f>
        <v>8.7875637055665271E-2</v>
      </c>
      <c r="M733">
        <f>a.*h./(L.*Cpw.)*(H733-I733)+a.*lambda.*kc./(L.*Cpw.)*K733</f>
        <v>0.49487987780060633</v>
      </c>
      <c r="N733">
        <f>a.*kc./G.*(H733-I733)</f>
        <v>0.48890872245722644</v>
      </c>
    </row>
    <row r="734" spans="5:14" x14ac:dyDescent="0.25">
      <c r="E734">
        <v>732</v>
      </c>
      <c r="F734">
        <f>dz.*E734</f>
        <v>16.643574282056523</v>
      </c>
      <c r="G734">
        <f>G733+L733*dz.</f>
        <v>3.7468940098048531</v>
      </c>
      <c r="H734">
        <f>H733+M733*dz.</f>
        <v>319.46303251844233</v>
      </c>
      <c r="I734">
        <f>I733+N733*dz.</f>
        <v>318.89289682066857</v>
      </c>
      <c r="J734">
        <f>(10^(AntA.-AntB./(AntC.+(H734-273.15)))*101325/760)</f>
        <v>10224.110314286996</v>
      </c>
      <c r="K734">
        <f>(J734/(R.*H734)-G734)</f>
        <v>0.10252242914150766</v>
      </c>
      <c r="L734">
        <f>a.*kc./G.*K734</f>
        <v>8.7937045496746816E-2</v>
      </c>
      <c r="M734">
        <f>a.*h./(L.*Cpw.)*(H734-I734)+a.*lambda.*kc./(L.*Cpw.)*K734</f>
        <v>0.49519433658500861</v>
      </c>
      <c r="N734">
        <f>a.*kc./G.*(H734-I734)</f>
        <v>0.4890251744352469</v>
      </c>
    </row>
    <row r="735" spans="5:14" x14ac:dyDescent="0.25">
      <c r="E735">
        <v>733</v>
      </c>
      <c r="F735">
        <f>dz.*E735</f>
        <v>16.666311405392666</v>
      </c>
      <c r="G735">
        <f>G734+L734*dz.</f>
        <v>3.7488934452541285</v>
      </c>
      <c r="H735">
        <f>H734+M734*dz.</f>
        <v>319.47429181314862</v>
      </c>
      <c r="I735">
        <f>I734+N734*dz.</f>
        <v>318.90401584637419</v>
      </c>
      <c r="J735">
        <f>(10^(AntA.-AntB./(AntC.+(H735-273.15)))*101325/760)</f>
        <v>10229.973822218852</v>
      </c>
      <c r="K735">
        <f>(J735/(R.*H735)-G735)</f>
        <v>0.10259488320333165</v>
      </c>
      <c r="L735">
        <f>a.*kc./G.*K735</f>
        <v>8.7999191860078152E-2</v>
      </c>
      <c r="M735">
        <f>a.*h./(L.*Cpw.)*(H735-I735)+a.*lambda.*kc./(L.*Cpw.)*K735</f>
        <v>0.49551291707127942</v>
      </c>
      <c r="N735">
        <f>a.*kc./G.*(H735-I735)</f>
        <v>0.48914548802512903</v>
      </c>
    </row>
    <row r="736" spans="5:14" x14ac:dyDescent="0.25">
      <c r="E736">
        <v>734</v>
      </c>
      <c r="F736">
        <f>dz.*E736</f>
        <v>16.689048528728808</v>
      </c>
      <c r="G736">
        <f>G735+L735*dz.</f>
        <v>3.7508942937329319</v>
      </c>
      <c r="H736">
        <f>H735+M735*dz.</f>
        <v>319.48555835145874</v>
      </c>
      <c r="I736">
        <f>I735+N735*dz.</f>
        <v>318.91513760766475</v>
      </c>
      <c r="J736">
        <f>(10^(AntA.-AntB./(AntC.+(H736-273.15)))*101325/760)</f>
        <v>10235.843995534284</v>
      </c>
      <c r="K736">
        <f>(J736/(R.*H736)-G736)</f>
        <v>0.10266820019544953</v>
      </c>
      <c r="L736">
        <f>a.*kc./G.*K736</f>
        <v>8.8062078388670403E-2</v>
      </c>
      <c r="M736">
        <f>a.*h./(L.*Cpw.)*(H736-I736)+a.*lambda.*kc./(L.*Cpw.)*K736</f>
        <v>0.49583563085943133</v>
      </c>
      <c r="N736">
        <f>a.*kc./G.*(H736-I736)</f>
        <v>0.48926966829926277</v>
      </c>
    </row>
    <row r="737" spans="5:14" x14ac:dyDescent="0.25">
      <c r="E737">
        <v>735</v>
      </c>
      <c r="F737">
        <f>dz.*E737</f>
        <v>16.711785652064954</v>
      </c>
      <c r="G737">
        <f>G736+L736*dz.</f>
        <v>3.7528965720704921</v>
      </c>
      <c r="H737">
        <f>H736+M736*dz.</f>
        <v>319.49683222735206</v>
      </c>
      <c r="I737">
        <f>I736+N736*dz.</f>
        <v>318.9262621924575</v>
      </c>
      <c r="J737">
        <f>(10^(AntA.-AntB./(AntC.+(H737-273.15)))*101325/760)</f>
        <v>10241.720889993734</v>
      </c>
      <c r="K737">
        <f>(J737/(R.*H737)-G737)</f>
        <v>0.10274238276445047</v>
      </c>
      <c r="L737">
        <f>a.*kc./G.*K737</f>
        <v>8.8125707352594951E-2</v>
      </c>
      <c r="M737">
        <f>a.*h./(L.*Cpw.)*(H737-I737)+a.*lambda.*kc./(L.*Cpw.)*K737</f>
        <v>0.49616248969863114</v>
      </c>
      <c r="N737">
        <f>a.*kc./G.*(H737-I737)</f>
        <v>0.48939772045734176</v>
      </c>
    </row>
    <row r="738" spans="5:14" x14ac:dyDescent="0.25">
      <c r="E738">
        <v>736</v>
      </c>
      <c r="F738">
        <f>dz.*E738</f>
        <v>16.734522775401096</v>
      </c>
      <c r="G738">
        <f>G737+L737*dz.</f>
        <v>3.7549002971476528</v>
      </c>
      <c r="H738">
        <f>H737+M737*dz.</f>
        <v>319.5081135350751</v>
      </c>
      <c r="I738">
        <f>I737+N737*dz.</f>
        <v>318.93738968878796</v>
      </c>
      <c r="J738">
        <f>(10^(AntA.-AntB./(AntC.+(H738-273.15)))*101325/760)</f>
        <v>10247.604561602246</v>
      </c>
      <c r="K738">
        <f>(J738/(R.*H738)-G738)</f>
        <v>0.10281743358865869</v>
      </c>
      <c r="L738">
        <f>a.*kc./G.*K738</f>
        <v>8.8190081049143415E-2</v>
      </c>
      <c r="M738">
        <f>a.*h./(L.*Cpw.)*(H738-I738)+a.*lambda.*kc./(L.*Cpw.)*K738</f>
        <v>0.49649350548803067</v>
      </c>
      <c r="N738">
        <f>a.*kc./G.*(H738-I738)</f>
        <v>0.48952964982675284</v>
      </c>
    </row>
    <row r="739" spans="5:14" x14ac:dyDescent="0.25">
      <c r="E739">
        <v>737</v>
      </c>
      <c r="F739">
        <f>dz.*E739</f>
        <v>16.757259898737239</v>
      </c>
      <c r="G739">
        <f>G738+L738*dz.</f>
        <v>3.7569054858974917</v>
      </c>
      <c r="H739">
        <f>H738+M738*dz.</f>
        <v>319.51940236914498</v>
      </c>
      <c r="I739">
        <f>I738+N738*dz.</f>
        <v>318.94852018481276</v>
      </c>
      <c r="J739">
        <f>(10^(AntA.-AntB./(AntC.+(H739-273.15)))*101325/760)</f>
        <v>10253.495066611909</v>
      </c>
      <c r="K739">
        <f>(J739/(R.*H739)-G739)</f>
        <v>0.10289335537835731</v>
      </c>
      <c r="L739">
        <f>a.*kc./G.*K739</f>
        <v>8.8255201803019684E-2</v>
      </c>
      <c r="M739">
        <f>a.*h./(L.*Cpw.)*(H739-I739)+a.*lambda.*kc./(L.*Cpw.)*K739</f>
        <v>0.49682869027777415</v>
      </c>
      <c r="N739">
        <f>a.*kc./G.*(H739-I739)</f>
        <v>0.48966546186311288</v>
      </c>
    </row>
    <row r="740" spans="5:14" x14ac:dyDescent="0.25">
      <c r="E740">
        <v>738</v>
      </c>
      <c r="F740">
        <f>dz.*E740</f>
        <v>16.779997022073381</v>
      </c>
      <c r="G740">
        <f>G739+L739*dz.</f>
        <v>3.7589121553059432</v>
      </c>
      <c r="H740">
        <f>H739+M739*dz.</f>
        <v>319.53069882435278</v>
      </c>
      <c r="I740">
        <f>I739+N739*dz.</f>
        <v>318.95965376881259</v>
      </c>
      <c r="J740">
        <f>(10^(AntA.-AntB./(AntC.+(H740-273.15)))*101325/760)</f>
        <v>10259.392461524287</v>
      </c>
      <c r="K740">
        <f>(J740/(R.*H740)-G740)</f>
        <v>0.10297015087600414</v>
      </c>
      <c r="L740">
        <f>a.*kc./G.*K740</f>
        <v>8.8321071966525014E-2</v>
      </c>
      <c r="M740">
        <f>a.*h./(L.*Cpw.)*(H740-I740)+a.*lambda.*kc./(L.*Cpw.)*K740</f>
        <v>0.49716805626994476</v>
      </c>
      <c r="N740">
        <f>a.*kc./G.*(H740-I740)</f>
        <v>0.4898051621506096</v>
      </c>
    </row>
    <row r="741" spans="5:14" x14ac:dyDescent="0.25">
      <c r="E741">
        <v>739</v>
      </c>
      <c r="F741">
        <f>dz.*E741</f>
        <v>16.802734145409524</v>
      </c>
      <c r="G741">
        <f>G740+L740*dz.</f>
        <v>3.7609203224124266</v>
      </c>
      <c r="H741">
        <f>H740+M740*dz.</f>
        <v>319.54200299576701</v>
      </c>
      <c r="I741">
        <f>I740+N740*dz.</f>
        <v>318.97079052919509</v>
      </c>
      <c r="J741">
        <f>(10^(AntA.-AntB./(AntC.+(H741-273.15)))*101325/760)</f>
        <v>10265.296803092777</v>
      </c>
      <c r="K741">
        <f>(J741/(R.*H741)-G741)</f>
        <v>0.10304782285641201</v>
      </c>
      <c r="L741">
        <f>a.*kc./G.*K741</f>
        <v>8.8387693919712657E-2</v>
      </c>
      <c r="M741">
        <f>a.*h./(L.*Cpw.)*(H741-I741)+a.*lambda.*kc./(L.*Cpw.)*K741</f>
        <v>0.49751161581938363</v>
      </c>
      <c r="N741">
        <f>a.*kc./G.*(H741-I741)</f>
        <v>0.48994875640248958</v>
      </c>
    </row>
    <row r="742" spans="5:14" x14ac:dyDescent="0.25">
      <c r="E742">
        <v>740</v>
      </c>
      <c r="F742">
        <f>dz.*E742</f>
        <v>16.825471268745666</v>
      </c>
      <c r="G742">
        <f>G741+L741*dz.</f>
        <v>3.7629300043104763</v>
      </c>
      <c r="H742">
        <f>H741+M741*dz.</f>
        <v>319.55331497873703</v>
      </c>
      <c r="I742">
        <f>I741+N741*dz.</f>
        <v>318.98193055449781</v>
      </c>
      <c r="J742">
        <f>(10^(AntA.-AntB./(AntC.+(H742-273.15)))*101325/760)</f>
        <v>10271.20814832504</v>
      </c>
      <c r="K742">
        <f>(J742/(R.*H742)-G742)</f>
        <v>0.10312637412695924</v>
      </c>
      <c r="L742">
        <f>a.*kc./G.*K742</f>
        <v>8.8455070070568437E-2</v>
      </c>
      <c r="M742">
        <f>a.*h./(L.*Cpw.)*(H742-I742)+a.*lambda.*kc./(L.*Cpw.)*K742</f>
        <v>0.49785938143462766</v>
      </c>
      <c r="N742">
        <f>a.*kc./G.*(H742-I742)</f>
        <v>0.49009625046149663</v>
      </c>
    </row>
    <row r="743" spans="5:14" x14ac:dyDescent="0.25">
      <c r="E743">
        <v>741</v>
      </c>
      <c r="F743">
        <f>dz.*E743</f>
        <v>16.848208392081808</v>
      </c>
      <c r="G743">
        <f>G742+L742*dz.</f>
        <v>3.7649412181483779</v>
      </c>
      <c r="H743">
        <f>H742+M742*dz.</f>
        <v>319.56463486889675</v>
      </c>
      <c r="I743">
        <f>I742+N742*dz.</f>
        <v>318.99307393339114</v>
      </c>
      <c r="J743">
        <f>(10^(AntA.-AntB./(AntC.+(H743-273.15)))*101325/760)</f>
        <v>10277.126554485663</v>
      </c>
      <c r="K743">
        <f>(J743/(R.*H743)-G743)</f>
        <v>0.10320580752787212</v>
      </c>
      <c r="L743">
        <f>a.*kc./G.*K743</f>
        <v>8.8523202855253003E-2</v>
      </c>
      <c r="M743">
        <f>a.*h./(L.*Cpw.)*(H743-I743)+a.*lambda.*kc./(L.*Cpw.)*K743</f>
        <v>0.49821136577916797</v>
      </c>
      <c r="N743">
        <f>a.*kc./G.*(H743-I743)</f>
        <v>0.49024765030045736</v>
      </c>
    </row>
    <row r="744" spans="5:14" x14ac:dyDescent="0.25">
      <c r="E744">
        <v>742</v>
      </c>
      <c r="F744">
        <f>dz.*E744</f>
        <v>16.870945515417951</v>
      </c>
      <c r="G744">
        <f>G743+L743*dz.</f>
        <v>3.7669539811298081</v>
      </c>
      <c r="H744">
        <f>H743+M743*dz.</f>
        <v>319.57596276216793</v>
      </c>
      <c r="I744">
        <f>I743+N743*dz.</f>
        <v>319.00422075468128</v>
      </c>
      <c r="J744">
        <f>(10^(AntA.-AntB./(AntC.+(H744-273.15)))*101325/760)</f>
        <v>10283.05207909845</v>
      </c>
      <c r="K744">
        <f>(J744/(R.*H744)-G744)</f>
        <v>0.10328612593237052</v>
      </c>
      <c r="L744">
        <f>a.*kc./G.*K744</f>
        <v>8.8592094738226754E-2</v>
      </c>
      <c r="M744">
        <f>a.*h./(L.*Cpw.)*(H744-I744)+a.*lambda.*kc./(L.*Cpw.)*K744</f>
        <v>0.49856758167211057</v>
      </c>
      <c r="N744">
        <f>a.*kc./G.*(H744-I744)</f>
        <v>0.49040296202267075</v>
      </c>
    </row>
    <row r="745" spans="5:14" x14ac:dyDescent="0.25">
      <c r="E745">
        <v>743</v>
      </c>
      <c r="F745">
        <f>dz.*E745</f>
        <v>16.893682638754093</v>
      </c>
      <c r="G745">
        <f>G744+L744*dz.</f>
        <v>3.7689683105144782</v>
      </c>
      <c r="H745">
        <f>H744+M744*dz.</f>
        <v>319.58729875476382</v>
      </c>
      <c r="I745">
        <f>I744+N744*dz.</f>
        <v>319.01537110731323</v>
      </c>
      <c r="J745">
        <f>(10^(AntA.-AntB./(AntC.+(H745-273.15)))*101325/760)</f>
        <v>10288.984779948971</v>
      </c>
      <c r="K745">
        <f>(J745/(R.*H745)-G745)</f>
        <v>0.10336733224690242</v>
      </c>
      <c r="L745">
        <f>a.*kc./G.*K745</f>
        <v>8.8661748212451E-2</v>
      </c>
      <c r="M745">
        <f>a.*h./(L.*Cpw.)*(H745-I745)+a.*lambda.*kc./(L.*Cpw.)*K745</f>
        <v>0.4989280420892146</v>
      </c>
      <c r="N745">
        <f>a.*kc./G.*(H745-I745)</f>
        <v>0.49056219186234729</v>
      </c>
    </row>
    <row r="746" spans="5:14" x14ac:dyDescent="0.25">
      <c r="E746">
        <v>744</v>
      </c>
      <c r="F746">
        <f>dz.*E746</f>
        <v>16.916419762090236</v>
      </c>
      <c r="G746">
        <f>G745+L745*dz.</f>
        <v>3.7709842236187829</v>
      </c>
      <c r="H746">
        <f>H745+M745*dz.</f>
        <v>319.59864294319266</v>
      </c>
      <c r="I746">
        <f>I745+N745*dz.</f>
        <v>319.02652508037363</v>
      </c>
      <c r="J746">
        <f>(10^(AntA.-AntB./(AntC.+(H746-273.15)))*101325/760)</f>
        <v>10294.924715087143</v>
      </c>
      <c r="K746">
        <f>(J746/(R.*H746)-G746)</f>
        <v>0.10344942941138813</v>
      </c>
      <c r="L746">
        <f>a.*kc./G.*K746</f>
        <v>8.8732165799597418E-2</v>
      </c>
      <c r="M746">
        <f>a.*h./(L.*Cpw.)*(H746-I746)+a.*lambda.*kc./(L.*Cpw.)*K746</f>
        <v>0.49929276016399782</v>
      </c>
      <c r="N746">
        <f>a.*kc./G.*(H746-I746)</f>
        <v>0.49072534618524261</v>
      </c>
    </row>
    <row r="747" spans="5:14" x14ac:dyDescent="0.25">
      <c r="E747">
        <v>745</v>
      </c>
      <c r="F747">
        <f>dz.*E747</f>
        <v>16.939156885426382</v>
      </c>
      <c r="G747">
        <f>G746+L746*dz.</f>
        <v>3.7730017378164513</v>
      </c>
      <c r="H747">
        <f>H746+M746*dz.</f>
        <v>319.60999542426134</v>
      </c>
      <c r="I747">
        <f>I746+N746*dz.</f>
        <v>319.03768276309404</v>
      </c>
      <c r="J747">
        <f>(10^(AntA.-AntB./(AntC.+(H747-273.15)))*101325/760)</f>
        <v>10300.871942829837</v>
      </c>
      <c r="K747">
        <f>(J747/(R.*H747)-G747)</f>
        <v>0.10353242039946409</v>
      </c>
      <c r="L747">
        <f>a.*kc./G.*K747</f>
        <v>8.8803350050257163E-2</v>
      </c>
      <c r="M747">
        <f>a.*h./(L.*Cpw.)*(H747-I747)+a.*lambda.*kc./(L.*Cpw.)*K747</f>
        <v>0.49966174918879996</v>
      </c>
      <c r="N747">
        <f>a.*kc./G.*(H747-I747)</f>
        <v>0.49089243148899908</v>
      </c>
    </row>
    <row r="748" spans="5:14" x14ac:dyDescent="0.25">
      <c r="E748">
        <v>746</v>
      </c>
      <c r="F748">
        <f>dz.*E748</f>
        <v>16.961894008762524</v>
      </c>
      <c r="G748">
        <f>G747+L747*dz.</f>
        <v>3.7750208705392065</v>
      </c>
      <c r="H748">
        <f>H747+M747*dz.</f>
        <v>319.62135629507901</v>
      </c>
      <c r="I748">
        <f>I747+N747*dz.</f>
        <v>319.04884424485357</v>
      </c>
      <c r="J748">
        <f>(10^(AntA.-AntB./(AntC.+(H748-273.15)))*101325/760)</f>
        <v>10306.826521763329</v>
      </c>
      <c r="K748">
        <f>(J748/(R.*H748)-G748)</f>
        <v>0.1036163082186663</v>
      </c>
      <c r="L748">
        <f>a.*kc./G.*K748</f>
        <v>8.8875303544098255E-2</v>
      </c>
      <c r="M748">
        <f>a.*h./(L.*Cpw.)*(H748-I748)+a.*lambda.*kc./(L.*Cpw.)*K748</f>
        <v>0.50003502261565536</v>
      </c>
      <c r="N748">
        <f>a.*kc./G.*(H748-I748)</f>
        <v>0.4910634544039254</v>
      </c>
    </row>
    <row r="749" spans="5:14" x14ac:dyDescent="0.25">
      <c r="E749">
        <v>747</v>
      </c>
      <c r="F749">
        <f>dz.*E749</f>
        <v>16.984631132098666</v>
      </c>
      <c r="G749">
        <f>G748+L748*dz.</f>
        <v>3.7770416392774258</v>
      </c>
      <c r="H749">
        <f>H748+M748*dz.</f>
        <v>319.63272565306062</v>
      </c>
      <c r="I749">
        <f>I748+N748*dz.</f>
        <v>319.0600096151822</v>
      </c>
      <c r="J749">
        <f>(10^(AntA.-AntB./(AntC.+(H749-273.15)))*101325/760)</f>
        <v>10312.788510745979</v>
      </c>
      <c r="K749">
        <f>(J749/(R.*H749)-G749)</f>
        <v>0.1037010959106941</v>
      </c>
      <c r="L749">
        <f>a.*kc./G.*K749</f>
        <v>8.8948028890091776E-2</v>
      </c>
      <c r="M749">
        <f>a.*h./(L.*Cpw.)*(H749-I749)+a.*lambda.*kc./(L.*Cpw.)*K749</f>
        <v>0.50041259405742566</v>
      </c>
      <c r="N749">
        <f>a.*kc./G.*(H749-I749)</f>
        <v>0.491238421693241</v>
      </c>
    </row>
    <row r="750" spans="5:14" x14ac:dyDescent="0.25">
      <c r="E750">
        <v>748</v>
      </c>
      <c r="F750">
        <f>dz.*E750</f>
        <v>17.007368255434809</v>
      </c>
      <c r="G750">
        <f>G749+L749*dz.</f>
        <v>3.7790640615808067</v>
      </c>
      <c r="H750">
        <f>H749+M749*dz.</f>
        <v>319.64410359593069</v>
      </c>
      <c r="I750">
        <f>I749+N749*dz.</f>
        <v>319.07117896376371</v>
      </c>
      <c r="J750">
        <f>(10^(AntA.-AntB./(AntC.+(H750-273.15)))*101325/760)</f>
        <v>10318.757968910813</v>
      </c>
      <c r="K750">
        <f>(J750/(R.*H750)-G750)</f>
        <v>0.10378678655163309</v>
      </c>
      <c r="L750">
        <f>a.*kc./G.*K750</f>
        <v>8.9021528726703117E-2</v>
      </c>
      <c r="M750">
        <f>a.*h./(L.*Cpw.)*(H750-I750)+a.*lambda.*kc./(L.*Cpw.)*K750</f>
        <v>0.50079447728882376</v>
      </c>
      <c r="N750">
        <f>a.*kc./G.*(H750-I750)</f>
        <v>0.49141734025375805</v>
      </c>
    </row>
    <row r="751" spans="5:14" x14ac:dyDescent="0.25">
      <c r="E751">
        <v>749</v>
      </c>
      <c r="F751">
        <f>dz.*E751</f>
        <v>17.030105378770951</v>
      </c>
      <c r="G751">
        <f>G750+L750*dz.</f>
        <v>3.7810881550590376</v>
      </c>
      <c r="H751">
        <f>H750+M750*dz.</f>
        <v>319.65549022172684</v>
      </c>
      <c r="I751">
        <f>I750+N750*dz.</f>
        <v>319.08235238043858</v>
      </c>
      <c r="J751">
        <f>(10^(AntA.-AntB./(AntC.+(H751-273.15)))*101325/760)</f>
        <v>10324.734955668224</v>
      </c>
      <c r="K751">
        <f>(J751/(R.*H751)-G751)</f>
        <v>0.10387338325221229</v>
      </c>
      <c r="L751">
        <f>a.*kc./G.*K751</f>
        <v>8.9095805722112481E-2</v>
      </c>
      <c r="M751">
        <f>a.*h./(L.*Cpw.)*(H751-I751)+a.*lambda.*kc./(L.*Cpw.)*K751</f>
        <v>0.50118068624756629</v>
      </c>
      <c r="N751">
        <f>a.*kc./G.*(H751-I751)</f>
        <v>0.49160021711646701</v>
      </c>
    </row>
    <row r="752" spans="5:14" x14ac:dyDescent="0.25">
      <c r="E752">
        <v>750</v>
      </c>
      <c r="F752">
        <f>dz.*E752</f>
        <v>17.052842502107094</v>
      </c>
      <c r="G752">
        <f>G751+L751*dz.</f>
        <v>3.7831139373824745</v>
      </c>
      <c r="H752">
        <f>H751+M751*dz.</f>
        <v>319.66688562880375</v>
      </c>
      <c r="I752">
        <f>I751+N751*dz.</f>
        <v>319.0935299552072</v>
      </c>
      <c r="J752">
        <f>(10^(AntA.-AntB./(AntC.+(H752-273.15)))*101325/760)</f>
        <v>10330.719530708595</v>
      </c>
      <c r="K752">
        <f>(J752/(R.*H752)-G752)</f>
        <v>0.10396088915803148</v>
      </c>
      <c r="L752">
        <f>a.*kc./G.*K752</f>
        <v>8.9170862574409995E-2</v>
      </c>
      <c r="M752">
        <f>a.*h./(L.*Cpw.)*(H752-I752)+a.*lambda.*kc./(L.*Cpw.)*K752</f>
        <v>0.50157123503540246</v>
      </c>
      <c r="N752">
        <f>a.*kc./G.*(H752-I752)</f>
        <v>0.49178705944712142</v>
      </c>
    </row>
    <row r="753" spans="5:14" x14ac:dyDescent="0.25">
      <c r="E753">
        <v>751</v>
      </c>
      <c r="F753">
        <f>dz.*E753</f>
        <v>17.075579625443236</v>
      </c>
      <c r="G753">
        <f>G752+L752*dz.</f>
        <v>3.7851414262828191</v>
      </c>
      <c r="H753">
        <f>H752+M752*dz.</f>
        <v>319.67828991583661</v>
      </c>
      <c r="I753">
        <f>I752+N752*dz.</f>
        <v>319.10471177823297</v>
      </c>
      <c r="J753">
        <f>(10^(AntA.-AntB./(AntC.+(H753-273.15)))*101325/760)</f>
        <v>10336.711754004995</v>
      </c>
      <c r="K753">
        <f>(J753/(R.*H753)-G753)</f>
        <v>0.10404930744981034</v>
      </c>
      <c r="L753">
        <f>a.*kc./G.*K753</f>
        <v>8.9246702011809301E-2</v>
      </c>
      <c r="M753">
        <f>a.*h./(L.*Cpw.)*(H753-I753)+a.*lambda.*kc./(L.*Cpw.)*K753</f>
        <v>0.50196613791919886</v>
      </c>
      <c r="N753">
        <f>a.*kc./G.*(H753-I753)</f>
        <v>0.49197787454657921</v>
      </c>
    </row>
    <row r="754" spans="5:14" x14ac:dyDescent="0.25">
      <c r="E754">
        <v>752</v>
      </c>
      <c r="F754">
        <f>dz.*E754</f>
        <v>17.098316748779379</v>
      </c>
      <c r="G754">
        <f>G753+L753*dz.</f>
        <v>3.7871706395538056</v>
      </c>
      <c r="H754">
        <f>H753+M753*dz.</f>
        <v>319.68970318182505</v>
      </c>
      <c r="I754">
        <f>I753+N753*dz.</f>
        <v>319.11589793984518</v>
      </c>
      <c r="J754">
        <f>(10^(AntA.-AntB./(AntC.+(H754-273.15)))*101325/760)</f>
        <v>10342.711685815877</v>
      </c>
      <c r="K754">
        <f>(J754/(R.*H754)-G754)</f>
        <v>0.10413864134363005</v>
      </c>
      <c r="L754">
        <f>a.*kc./G.*K754</f>
        <v>8.9323326792854846E-2</v>
      </c>
      <c r="M754">
        <f>a.*h./(L.*Cpw.)*(H754-I754)+a.*lambda.*kc./(L.*Cpw.)*K754</f>
        <v>0.50236540933206908</v>
      </c>
      <c r="N754">
        <f>a.*kc./G.*(H754-I754)</f>
        <v>0.49217266985168057</v>
      </c>
    </row>
    <row r="755" spans="5:14" x14ac:dyDescent="0.25">
      <c r="E755">
        <v>753</v>
      </c>
      <c r="F755">
        <f>dz.*E755</f>
        <v>17.121053872115521</v>
      </c>
      <c r="G755">
        <f>G754+L754*dz.</f>
        <v>3.7892015950518894</v>
      </c>
      <c r="H755">
        <f>H754+M754*dz.</f>
        <v>319.70112552609686</v>
      </c>
      <c r="I755">
        <f>I754+N754*dz.</f>
        <v>319.12708853054227</v>
      </c>
      <c r="J755">
        <f>(10^(AntA.-AntB./(AntC.+(H755-273.15)))*101325/760)</f>
        <v>10348.719386687912</v>
      </c>
      <c r="K755">
        <f>(J755/(R.*H755)-G755)</f>
        <v>0.10422889409122194</v>
      </c>
      <c r="L755">
        <f>a.*kc./G.*K755</f>
        <v>8.9400739706669438E-2</v>
      </c>
      <c r="M755">
        <f>a.*h./(L.*Cpw.)*(H755-I755)+a.*lambda.*kc./(L.*Cpw.)*K755</f>
        <v>0.50276906387463627</v>
      </c>
      <c r="N755">
        <f>a.*kc./G.*(H755-I755)</f>
        <v>0.49237145293568646</v>
      </c>
    </row>
    <row r="756" spans="5:14" x14ac:dyDescent="0.25">
      <c r="E756">
        <v>754</v>
      </c>
      <c r="F756">
        <f>dz.*E756</f>
        <v>17.143790995451667</v>
      </c>
      <c r="G756">
        <f>G755+L755*dz.</f>
        <v>3.7912343106969422</v>
      </c>
      <c r="H756">
        <f>H755+M755*dz.</f>
        <v>319.71255704831179</v>
      </c>
      <c r="I756">
        <f>I755+N755*dz.</f>
        <v>319.13828364099487</v>
      </c>
      <c r="J756">
        <f>(10^(AntA.-AntB./(AntC.+(H756-273.15)))*101325/760)</f>
        <v>10354.734917458592</v>
      </c>
      <c r="K756">
        <f>(J756/(R.*H756)-G756)</f>
        <v>0.10432006898016155</v>
      </c>
      <c r="L756">
        <f>a.*kc./G.*K756</f>
        <v>8.9478943573120723E-2</v>
      </c>
      <c r="M756">
        <f>a.*h./(L.*Cpw.)*(H756-I756)+a.*lambda.*kc./(L.*Cpw.)*K756</f>
        <v>0.50317711631592354</v>
      </c>
      <c r="N756">
        <f>a.*kc./G.*(H756-I756)</f>
        <v>0.49257423150886381</v>
      </c>
    </row>
    <row r="757" spans="5:14" x14ac:dyDescent="0.25">
      <c r="E757">
        <v>755</v>
      </c>
      <c r="F757">
        <f>dz.*E757</f>
        <v>17.166528118787809</v>
      </c>
      <c r="G757">
        <f>G756+L756*dz.</f>
        <v>3.7932688044729521</v>
      </c>
      <c r="H757">
        <f>H756+M756*dz.</f>
        <v>319.72399784846539</v>
      </c>
      <c r="I757">
        <f>I756+N756*dz.</f>
        <v>319.1494833620489</v>
      </c>
      <c r="J757">
        <f>(10^(AntA.-AntB./(AntC.+(H757-273.15)))*101325/760)</f>
        <v>10360.758339259111</v>
      </c>
      <c r="K757">
        <f>(J757/(R.*H757)-G757)</f>
        <v>0.10441216933416442</v>
      </c>
      <c r="L757">
        <f>a.*kc./G.*K757</f>
        <v>8.9557941243074854E-2</v>
      </c>
      <c r="M757">
        <f>a.*h./(L.*Cpw.)*(H757-I757)+a.*lambda.*kc./(L.*Cpw.)*K757</f>
        <v>0.50358958159468137</v>
      </c>
      <c r="N757">
        <f>a.*kc./G.*(H757-I757)</f>
        <v>0.49278101341916813</v>
      </c>
    </row>
    <row r="758" spans="5:14" x14ac:dyDescent="0.25">
      <c r="E758">
        <v>756</v>
      </c>
      <c r="F758">
        <f>dz.*E758</f>
        <v>17.189265242123952</v>
      </c>
      <c r="G758">
        <f>G757+L757*dz.</f>
        <v>3.795305094428727</v>
      </c>
      <c r="H758">
        <f>H757+M757*dz.</f>
        <v>319.73544802689293</v>
      </c>
      <c r="I758">
        <f>I757+N757*dz.</f>
        <v>319.16068778472874</v>
      </c>
      <c r="J758">
        <f>(10^(AntA.-AntB./(AntC.+(H758-273.15)))*101325/760)</f>
        <v>10366.789713517195</v>
      </c>
      <c r="K758">
        <f>(J758/(R.*H758)-G758)</f>
        <v>0.10450519851335693</v>
      </c>
      <c r="L758">
        <f>a.*kc./G.*K758</f>
        <v>8.9637735598628851E-2</v>
      </c>
      <c r="M758">
        <f>a.*h./(L.*Cpw.)*(H758-I758)+a.*lambda.*kc./(L.*Cpw.)*K758</f>
        <v>0.50400647482060346</v>
      </c>
      <c r="N758">
        <f>a.*kc./G.*(H758-I758)</f>
        <v>0.4929918066528774</v>
      </c>
    </row>
    <row r="759" spans="5:14" x14ac:dyDescent="0.25">
      <c r="E759">
        <v>757</v>
      </c>
      <c r="F759">
        <f>dz.*E759</f>
        <v>17.212002365460094</v>
      </c>
      <c r="G759">
        <f>G758+L758*dz.</f>
        <v>3.7973431986786057</v>
      </c>
      <c r="H759">
        <f>H758+M758*dz.</f>
        <v>319.74690768427314</v>
      </c>
      <c r="I759">
        <f>I758+N758*dz.</f>
        <v>319.17189700024034</v>
      </c>
      <c r="J759">
        <f>(10^(AntA.-AntB./(AntC.+(H759-273.15)))*101325/760)</f>
        <v>10372.829101959898</v>
      </c>
      <c r="K759">
        <f>(J759/(R.*H759)-G759)</f>
        <v>0.1045991599145224</v>
      </c>
      <c r="L759">
        <f>a.*kc./G.*K759</f>
        <v>8.9718329553321652E-2</v>
      </c>
      <c r="M759">
        <f>a.*h./(L.*Cpw.)*(H759-I759)+a.*lambda.*kc./(L.*Cpw.)*K759</f>
        <v>0.50442781127542757</v>
      </c>
      <c r="N759">
        <f>a.*kc./G.*(H759-I759)</f>
        <v>0.49320661933512822</v>
      </c>
    </row>
    <row r="760" spans="5:14" x14ac:dyDescent="0.25">
      <c r="E760">
        <v>758</v>
      </c>
      <c r="F760">
        <f>dz.*E760</f>
        <v>17.234739488796237</v>
      </c>
      <c r="G760">
        <f>G759+L759*dz.</f>
        <v>3.7993831354031724</v>
      </c>
      <c r="H760">
        <f>H759+M759*dz.</f>
        <v>319.7583769216323</v>
      </c>
      <c r="I760">
        <f>I759+N759*dz.</f>
        <v>319.18311109997438</v>
      </c>
      <c r="J760">
        <f>(10^(AntA.-AntB./(AntC.+(H760-273.15)))*101325/760)</f>
        <v>10378.876566616416</v>
      </c>
      <c r="K760">
        <f>(J760/(R.*H760)-G760)</f>
        <v>0.10469405697135503</v>
      </c>
      <c r="L760">
        <f>a.*kc./G.*K760</f>
        <v>8.9799726052351925E-2</v>
      </c>
      <c r="M760">
        <f>a.*h./(L.*Cpw.)*(H760-I760)+a.*lambda.*kc./(L.*Cpw.)*K760</f>
        <v>0.50485360641410126</v>
      </c>
      <c r="N760">
        <f>a.*kc./G.*(H760-I760)</f>
        <v>0.49342545973069607</v>
      </c>
    </row>
    <row r="761" spans="5:14" x14ac:dyDescent="0.25">
      <c r="E761">
        <v>759</v>
      </c>
      <c r="F761">
        <f>dz.*E761</f>
        <v>17.257476612132379</v>
      </c>
      <c r="G761">
        <f>G760+L760*dz.</f>
        <v>3.8014249228499764</v>
      </c>
      <c r="H761">
        <f>H760+M760*dz.</f>
        <v>319.76985584034804</v>
      </c>
      <c r="I761">
        <f>I760+N760*dz.</f>
        <v>319.19433017550949</v>
      </c>
      <c r="J761">
        <f>(10^(AntA.-AntB./(AntC.+(H761-273.15)))*101325/760)</f>
        <v>10384.932169821095</v>
      </c>
      <c r="K761">
        <f>(J761/(R.*H761)-G761)</f>
        <v>0.10478989315477927</v>
      </c>
      <c r="L761">
        <f>a.*kc./G.*K761</f>
        <v>8.9881928072852044E-2</v>
      </c>
      <c r="M761">
        <f>a.*h./(L.*Cpw.)*(H761-I761)+a.*lambda.*kc./(L.*Cpw.)*K761</f>
        <v>0.50528387586618717</v>
      </c>
      <c r="N761">
        <f>a.*kc./G.*(H761-I761)</f>
        <v>0.49364833624453147</v>
      </c>
    </row>
    <row r="762" spans="5:14" x14ac:dyDescent="0.25">
      <c r="E762">
        <v>760</v>
      </c>
      <c r="F762">
        <f>dz.*E762</f>
        <v>17.280213735468521</v>
      </c>
      <c r="G762">
        <f>G761+L761*dz.</f>
        <v>3.8034685793342593</v>
      </c>
      <c r="H762">
        <f>H761+M761*dz.</f>
        <v>319.78134454215336</v>
      </c>
      <c r="I762">
        <f>I761+N761*dz.</f>
        <v>319.20555431861538</v>
      </c>
      <c r="J762">
        <f>(10^(AntA.-AntB./(AntC.+(H762-273.15)))*101325/760)</f>
        <v>10390.995974216188</v>
      </c>
      <c r="K762">
        <f>(J762/(R.*H762)-G762)</f>
        <v>0.10488667197316293</v>
      </c>
      <c r="L762">
        <f>a.*kc./G.*K762</f>
        <v>8.9964938624070817E-2</v>
      </c>
      <c r="M762">
        <f>a.*h./(L.*Cpw.)*(H762-I762)+a.*lambda.*kc./(L.*Cpw.)*K762</f>
        <v>0.50571863543685269</v>
      </c>
      <c r="N762">
        <f>a.*kc./G.*(H762-I762)</f>
        <v>0.49387525742249166</v>
      </c>
    </row>
    <row r="763" spans="5:14" x14ac:dyDescent="0.25">
      <c r="E763">
        <v>761</v>
      </c>
      <c r="F763">
        <f>dz.*E763</f>
        <v>17.302950858804664</v>
      </c>
      <c r="G763">
        <f>G762+L762*dz.</f>
        <v>3.8055141232396834</v>
      </c>
      <c r="H763">
        <f>H762+M762*dz.</f>
        <v>319.79284312914069</v>
      </c>
      <c r="I763">
        <f>I762+N762*dz.</f>
        <v>319.21678362125607</v>
      </c>
      <c r="J763">
        <f>(10^(AntA.-AntB./(AntC.+(H763-273.15)))*101325/760)</f>
        <v>10397.06804275496</v>
      </c>
      <c r="K763">
        <f>(J763/(R.*H763)-G763)</f>
        <v>0.10498439697266093</v>
      </c>
      <c r="L763">
        <f>a.*kc./G.*K763</f>
        <v>9.0048760747668419E-2</v>
      </c>
      <c r="M763">
        <f>a.*h./(L.*Cpw.)*(H763-I763)+a.*lambda.*kc./(L.*Cpw.)*K763</f>
        <v>0.5061579011084042</v>
      </c>
      <c r="N763">
        <f>a.*kc./G.*(H763-I763)</f>
        <v>0.49410623195207154</v>
      </c>
    </row>
    <row r="764" spans="5:14" x14ac:dyDescent="0.25">
      <c r="E764">
        <v>762</v>
      </c>
      <c r="F764">
        <f>dz.*E764</f>
        <v>17.325687982140806</v>
      </c>
      <c r="G764">
        <f>G763+L763*dz.</f>
        <v>3.8075615730190702</v>
      </c>
      <c r="H764">
        <f>H763+M763*dz.</f>
        <v>319.80435170376575</v>
      </c>
      <c r="I764">
        <f>I763+N763*dz.</f>
        <v>319.22801817559315</v>
      </c>
      <c r="J764">
        <f>(10^(AntA.-AntB./(AntC.+(H764-273.15)))*101325/760)</f>
        <v>10403.148438704482</v>
      </c>
      <c r="K764">
        <f>(J764/(R.*H764)-G764)</f>
        <v>0.10508307173743603</v>
      </c>
      <c r="L764">
        <f>a.*kc./G.*K764</f>
        <v>9.0133397517905611E-2</v>
      </c>
      <c r="M764">
        <f>a.*h./(L.*Cpw.)*(H764-I764)+a.*lambda.*kc./(L.*Cpw.)*K764</f>
        <v>0.50660168904127367</v>
      </c>
      <c r="N764">
        <f>a.*kc./G.*(H764-I764)</f>
        <v>0.49434126866289141</v>
      </c>
    </row>
    <row r="765" spans="5:14" x14ac:dyDescent="0.25">
      <c r="E765">
        <v>763</v>
      </c>
      <c r="F765">
        <f>dz.*E765</f>
        <v>17.348425105476949</v>
      </c>
      <c r="G765">
        <f>G764+L764*dz.</f>
        <v>3.8096109471951403</v>
      </c>
      <c r="H765">
        <f>H764+M764*dz.</f>
        <v>319.81587036885179</v>
      </c>
      <c r="I765">
        <f>I764+N764*dz.</f>
        <v>319.23925807398888</v>
      </c>
      <c r="J765">
        <f>(10^(AntA.-AntB./(AntC.+(H765-273.15)))*101325/760)</f>
        <v>10409.237225648769</v>
      </c>
      <c r="K765">
        <f>(J765/(R.*H765)-G765)</f>
        <v>0.10518269988999585</v>
      </c>
      <c r="L765">
        <f>a.*kc./G.*K765</f>
        <v>9.0218852041932904E-2</v>
      </c>
      <c r="M765">
        <f>a.*h./(L.*Cpw.)*(H765-I765)+a.*lambda.*kc./(L.*Cpw.)*K765</f>
        <v>0.50705001557556562</v>
      </c>
      <c r="N765">
        <f>a.*kc./G.*(H765-I765)</f>
        <v>0.49458037652772102</v>
      </c>
    </row>
    <row r="766" spans="5:14" x14ac:dyDescent="0.25">
      <c r="E766">
        <v>764</v>
      </c>
      <c r="F766">
        <f>dz.*E766</f>
        <v>17.371162228813095</v>
      </c>
      <c r="G766">
        <f>G765+L765*dz.</f>
        <v>3.8116622643612628</v>
      </c>
      <c r="H766">
        <f>H765+M765*dz.</f>
        <v>319.8273992275935</v>
      </c>
      <c r="I766">
        <f>I765+N765*dz.</f>
        <v>319.25050340900964</v>
      </c>
      <c r="J766">
        <f>(10^(AntA.-AntB./(AntC.+(H766-273.15)))*101325/760)</f>
        <v>10415.334467491652</v>
      </c>
      <c r="K766">
        <f>(J766/(R.*H766)-G766)</f>
        <v>0.10528328509143181</v>
      </c>
      <c r="L766">
        <f>a.*kc./G.*K766</f>
        <v>9.0305127459995471E-2</v>
      </c>
      <c r="M766">
        <f>a.*h./(L.*Cpw.)*(H766-I766)+a.*lambda.*kc./(L.*Cpw.)*K766</f>
        <v>0.5075028972321004</v>
      </c>
      <c r="N766">
        <f>a.*kc./G.*(H766-I766)</f>
        <v>0.49482356466282057</v>
      </c>
    </row>
    <row r="767" spans="5:14" x14ac:dyDescent="0.25">
      <c r="E767">
        <v>765</v>
      </c>
      <c r="F767">
        <f>dz.*E767</f>
        <v>17.393899352149237</v>
      </c>
      <c r="G767">
        <f>G766+L766*dz.</f>
        <v>3.813715543182207</v>
      </c>
      <c r="H767">
        <f>H766+M766*dz.</f>
        <v>319.8389383835613</v>
      </c>
      <c r="I767">
        <f>I766+N766*dz.</f>
        <v>319.26175427342901</v>
      </c>
      <c r="J767">
        <f>(10^(AntA.-AntB./(AntC.+(H767-273.15)))*101325/760)</f>
        <v>10421.440228459975</v>
      </c>
      <c r="K767">
        <f>(J767/(R.*H767)-G767)</f>
        <v>0.1053848310417651</v>
      </c>
      <c r="L767">
        <f>a.*kc./G.*K767</f>
        <v>9.0392226945729903E-2</v>
      </c>
      <c r="M767">
        <f>a.*h./(L.*Cpw.)*(H767-I767)+a.*lambda.*kc./(L.*Cpw.)*K767</f>
        <v>0.50796035071400403</v>
      </c>
      <c r="N767">
        <f>a.*kc./G.*(H767-I767)</f>
        <v>0.49507084232901361</v>
      </c>
    </row>
    <row r="768" spans="5:14" x14ac:dyDescent="0.25">
      <c r="E768">
        <v>766</v>
      </c>
      <c r="F768">
        <f>dz.*E768</f>
        <v>17.41663647548538</v>
      </c>
      <c r="G768">
        <f>G767+L767*dz.</f>
        <v>3.8157708023949004</v>
      </c>
      <c r="H768">
        <f>H767+M767*dz.</f>
        <v>319.85048794070536</v>
      </c>
      <c r="I768">
        <f>I767+N767*dz.</f>
        <v>319.27301076023116</v>
      </c>
      <c r="J768">
        <f>(10^(AntA.-AntB./(AntC.+(H768-273.15)))*101325/760)</f>
        <v>10427.554573106567</v>
      </c>
      <c r="K768">
        <f>(J768/(R.*H768)-G768)</f>
        <v>0.10548734148021133</v>
      </c>
      <c r="L768">
        <f>a.*kc./G.*K768</f>
        <v>9.0480153706391162E-2</v>
      </c>
      <c r="M768">
        <f>a.*h./(L.*Cpw.)*(H768-I768)+a.*lambda.*kc./(L.*Cpw.)*K768</f>
        <v>0.50842239290788593</v>
      </c>
      <c r="N768">
        <f>a.*kc./G.*(H768-I768)</f>
        <v>0.49532221893222311</v>
      </c>
    </row>
    <row r="769" spans="5:14" x14ac:dyDescent="0.25">
      <c r="E769">
        <v>767</v>
      </c>
      <c r="F769">
        <f>dz.*E769</f>
        <v>17.439373598821522</v>
      </c>
      <c r="G769">
        <f>G768+L768*dz.</f>
        <v>3.8178280608091959</v>
      </c>
      <c r="H769">
        <f>H768+M768*dz.</f>
        <v>319.86204800335975</v>
      </c>
      <c r="I769">
        <f>I768+N768*dz.</f>
        <v>319.28427296261412</v>
      </c>
      <c r="J769">
        <f>(10^(AntA.-AntB./(AntC.+(H769-273.15)))*101325/760)</f>
        <v>10433.677566313321</v>
      </c>
      <c r="K769">
        <f>(J769/(R.*H769)-G769)</f>
        <v>0.10559082018546606</v>
      </c>
      <c r="L769">
        <f>a.*kc./G.*K769</f>
        <v>9.056891098309762E-2</v>
      </c>
      <c r="M769">
        <f>a.*h./(L.*Cpw.)*(H769-I769)+a.*lambda.*kc./(L.*Cpw.)*K769</f>
        <v>0.5088890408851301</v>
      </c>
      <c r="N769">
        <f>a.*kc./G.*(H769-I769)</f>
        <v>0.49557770402420309</v>
      </c>
    </row>
    <row r="770" spans="5:14" x14ac:dyDescent="0.25">
      <c r="E770">
        <v>768</v>
      </c>
      <c r="F770">
        <f>dz.*E770</f>
        <v>17.462110722157664</v>
      </c>
      <c r="G770">
        <f>G769+L769*dz.</f>
        <v>3.8198873373086388</v>
      </c>
      <c r="H770">
        <f>H769+M769*dz.</f>
        <v>319.87361867624674</v>
      </c>
      <c r="I770">
        <f>I769+N769*dz.</f>
        <v>319.29554097399318</v>
      </c>
      <c r="J770">
        <f>(10^(AntA.-AntB./(AntC.+(H770-273.15)))*101325/760)</f>
        <v>10439.809273294426</v>
      </c>
      <c r="K770">
        <f>(J770/(R.*H770)-G770)</f>
        <v>0.10569527097605436</v>
      </c>
      <c r="L770">
        <f>a.*kc./G.*K770</f>
        <v>9.0658502051130699E-2</v>
      </c>
      <c r="M770">
        <f>a.*h./(L.*Cpw.)*(H770-I770)+a.*lambda.*kc./(L.*Cpw.)*K770</f>
        <v>0.50936031190346653</v>
      </c>
      <c r="N770">
        <f>a.*kc./G.*(H770-I770)</f>
        <v>0.49583730730336728</v>
      </c>
    </row>
    <row r="771" spans="5:14" x14ac:dyDescent="0.25">
      <c r="E771">
        <v>769</v>
      </c>
      <c r="F771">
        <f>dz.*E771</f>
        <v>17.484847845493807</v>
      </c>
      <c r="G771">
        <f>G770+L770*dz.</f>
        <v>3.8219486508512452</v>
      </c>
      <c r="H771">
        <f>H770+M770*dz.</f>
        <v>319.88520006448101</v>
      </c>
      <c r="I771">
        <f>I770+N770*dz.</f>
        <v>319.306814888004</v>
      </c>
      <c r="J771">
        <f>(10^(AntA.-AntB./(AntC.+(H771-273.15)))*101325/760)</f>
        <v>10445.949759599405</v>
      </c>
      <c r="K771">
        <f>(J771/(R.*H771)-G771)</f>
        <v>0.10580069771059142</v>
      </c>
      <c r="L771">
        <f>a.*kc./G.*K771</f>
        <v>9.0748930220158605E-2</v>
      </c>
      <c r="M771">
        <f>a.*h./(L.*Cpw.)*(H771-I771)+a.*lambda.*kc./(L.*Cpw.)*K771</f>
        <v>0.50983622340817925</v>
      </c>
      <c r="N771">
        <f>a.*kc./G.*(H771-I771)</f>
        <v>0.49610103861566679</v>
      </c>
    </row>
    <row r="772" spans="5:14" x14ac:dyDescent="0.25">
      <c r="E772">
        <v>770</v>
      </c>
      <c r="F772">
        <f>dz.*E772</f>
        <v>17.507584968829949</v>
      </c>
      <c r="G772">
        <f>G771+L771*dz.</f>
        <v>3.8240120204702839</v>
      </c>
      <c r="H772">
        <f>H771+M771*dz.</f>
        <v>319.89679227357385</v>
      </c>
      <c r="I772">
        <f>I771+N771*dz.</f>
        <v>319.31809479850619</v>
      </c>
      <c r="J772">
        <f>(10^(AntA.-AntB./(AntC.+(H772-273.15)))*101325/760)</f>
        <v>10452.099091116392</v>
      </c>
      <c r="K772">
        <f>(J772/(R.*H772)-G772)</f>
        <v>0.10590710428812589</v>
      </c>
      <c r="L772">
        <f>a.*kc./G.*K772</f>
        <v>9.084019883453065E-2</v>
      </c>
      <c r="M772">
        <f>a.*h./(L.*Cpw.)*(H772-I772)+a.*lambda.*kc./(L.*Cpw.)*K772</f>
        <v>0.51031679303361133</v>
      </c>
      <c r="N772">
        <f>a.*kc./G.*(H772-I772)</f>
        <v>0.4963689079551265</v>
      </c>
    </row>
    <row r="773" spans="5:14" x14ac:dyDescent="0.25">
      <c r="E773">
        <v>771</v>
      </c>
      <c r="F773">
        <f>dz.*E773</f>
        <v>17.530322092166092</v>
      </c>
      <c r="G773">
        <f>G772+L772*dz.</f>
        <v>3.8260774652750644</v>
      </c>
      <c r="H773">
        <f>H772+M772*dz.</f>
        <v>319.90839540943756</v>
      </c>
      <c r="I773">
        <f>I772+N772*dz.</f>
        <v>319.3293807995866</v>
      </c>
      <c r="J773">
        <f>(10^(AntA.-AntB./(AntC.+(H773-273.15)))*101325/760)</f>
        <v>10458.257334075299</v>
      </c>
      <c r="K773">
        <f>(J773/(R.*H773)-G773)</f>
        <v>0.10601449464844137</v>
      </c>
      <c r="L773">
        <f>a.*kc./G.*K773</f>
        <v>9.0932311273535973E-2</v>
      </c>
      <c r="M773">
        <f>a.*h./(L.*Cpw.)*(H773-I773)+a.*lambda.*kc./(L.*Cpw.)*K773</f>
        <v>0.5108020386045633</v>
      </c>
      <c r="N773">
        <f>a.*kc./G.*(H773-I773)</f>
        <v>0.49664092546486888</v>
      </c>
    </row>
    <row r="774" spans="5:14" x14ac:dyDescent="0.25">
      <c r="E774">
        <v>772</v>
      </c>
      <c r="F774">
        <f>dz.*E774</f>
        <v>17.553059215502234</v>
      </c>
      <c r="G774">
        <f>G773+L773*dz.</f>
        <v>3.8281450044517316</v>
      </c>
      <c r="H774">
        <f>H773+M773*dz.</f>
        <v>319.92000957838968</v>
      </c>
      <c r="I774">
        <f>I773+N773*dz.</f>
        <v>319.34067298556266</v>
      </c>
      <c r="J774">
        <f>(10^(AntA.-AntB./(AntC.+(H774-273.15)))*101325/760)</f>
        <v>10464.424555051075</v>
      </c>
      <c r="K774">
        <f>(J774/(R.*H774)-G774)</f>
        <v>0.10612287277238108</v>
      </c>
      <c r="L774">
        <f>a.*kc./G.*K774</f>
        <v>9.1025270951681947E-2</v>
      </c>
      <c r="M774">
        <f>a.*h./(L.*Cpw.)*(H774-I774)+a.*lambda.*kc./(L.*Cpw.)*K774</f>
        <v>0.51129197813774074</v>
      </c>
      <c r="N774">
        <f>a.*kc./G.*(H774-I774)</f>
        <v>0.49691710143779644</v>
      </c>
    </row>
    <row r="775" spans="5:14" x14ac:dyDescent="0.25">
      <c r="E775">
        <v>773</v>
      </c>
      <c r="F775">
        <f>dz.*E775</f>
        <v>17.57579633883838</v>
      </c>
      <c r="G775">
        <f>G774+L774*dz.</f>
        <v>3.8302146572640656</v>
      </c>
      <c r="H775">
        <f>H774+M774*dz.</f>
        <v>319.93163488715737</v>
      </c>
      <c r="I775">
        <f>I774+N774*dz.</f>
        <v>319.3519714509859</v>
      </c>
      <c r="J775">
        <f>(10^(AntA.-AntB./(AntC.+(H775-273.15)))*101325/760)</f>
        <v>10470.600820966938</v>
      </c>
      <c r="K775">
        <f>(J775/(R.*H775)-G775)</f>
        <v>0.10623224268215248</v>
      </c>
      <c r="L775">
        <f>a.*kc./G.*K775</f>
        <v>9.1119081318955505E-2</v>
      </c>
      <c r="M775">
        <f>a.*h./(L.*Cpw.)*(H775-I775)+a.*lambda.*kc./(L.*Cpw.)*K775</f>
        <v>0.51178662984313184</v>
      </c>
      <c r="N775">
        <f>a.*kc./G.*(H775-I775)</f>
        <v>0.49719744631737217</v>
      </c>
    </row>
    <row r="776" spans="5:14" x14ac:dyDescent="0.25">
      <c r="E776">
        <v>774</v>
      </c>
      <c r="F776">
        <f>dz.*E776</f>
        <v>17.598533462174522</v>
      </c>
      <c r="G776">
        <f>G775+L775*dz.</f>
        <v>3.8322864430542909</v>
      </c>
      <c r="H776">
        <f>H775+M775*dz.</f>
        <v>319.94327144288189</v>
      </c>
      <c r="I776">
        <f>I775+N775*dz.</f>
        <v>319.36327629064522</v>
      </c>
      <c r="J776">
        <f>(10^(AntA.-AntB./(AntC.+(H776-273.15)))*101325/760)</f>
        <v>10476.78619909778</v>
      </c>
      <c r="K776">
        <f>(J776/(R.*H776)-G776)</f>
        <v>0.10634260844169363</v>
      </c>
      <c r="L776">
        <f>a.*kc./G.*K776</f>
        <v>9.1213745861137369E-2</v>
      </c>
      <c r="M776">
        <f>a.*h./(L.*Cpw.)*(H776-I776)+a.*lambda.*kc./(L.*Cpw.)*K776</f>
        <v>0.51228601212567626</v>
      </c>
      <c r="N776">
        <f>a.*kc./G.*(H776-I776)</f>
        <v>0.49748197069864325</v>
      </c>
    </row>
    <row r="777" spans="5:14" x14ac:dyDescent="0.25">
      <c r="E777">
        <v>775</v>
      </c>
      <c r="F777">
        <f>dz.*E777</f>
        <v>17.621270585510665</v>
      </c>
      <c r="G777">
        <f>G776+L776*dz.</f>
        <v>3.8343603812438873</v>
      </c>
      <c r="H777">
        <f>H776+M776*dz.</f>
        <v>319.95491935312299</v>
      </c>
      <c r="I777">
        <f>I776+N776*dz.</f>
        <v>319.37458759957048</v>
      </c>
      <c r="J777">
        <f>(10^(AntA.-AntB./(AntC.+(H777-273.15)))*101325/760)</f>
        <v>10482.980757073374</v>
      </c>
      <c r="K777">
        <f>(J777/(R.*H777)-G777)</f>
        <v>0.10645397415695657</v>
      </c>
      <c r="L777">
        <f>a.*kc./G.*K777</f>
        <v>9.1309268100045082E-2</v>
      </c>
      <c r="M777">
        <f>a.*h./(L.*Cpw.)*(H777-I777)+a.*lambda.*kc./(L.*Cpw.)*K777</f>
        <v>0.51279014358654085</v>
      </c>
      <c r="N777">
        <f>a.*kc./G.*(H777-I777)</f>
        <v>0.49777068532892355</v>
      </c>
    </row>
    <row r="778" spans="5:14" x14ac:dyDescent="0.25">
      <c r="E778">
        <v>776</v>
      </c>
      <c r="F778">
        <f>dz.*E778</f>
        <v>17.644007708846807</v>
      </c>
      <c r="G778">
        <f>G777+L777*dz.</f>
        <v>3.8364364913344109</v>
      </c>
      <c r="H778">
        <f>H777+M777*dz.</f>
        <v>319.96657872586326</v>
      </c>
      <c r="I778">
        <f>I777+N777*dz.</f>
        <v>319.3859054730359</v>
      </c>
      <c r="J778">
        <f>(10^(AntA.-AntB./(AntC.+(H778-273.15)))*101325/760)</f>
        <v>10489.184562881846</v>
      </c>
      <c r="K778">
        <f>(J778/(R.*H778)-G778)</f>
        <v>0.10656634397628473</v>
      </c>
      <c r="L778">
        <f>a.*kc./G.*K778</f>
        <v>9.1405651593856801E-2</v>
      </c>
      <c r="M778">
        <f>a.*h./(L.*Cpw.)*(H778-I778)+a.*lambda.*kc./(L.*Cpw.)*K778</f>
        <v>0.51329904302480656</v>
      </c>
      <c r="N778">
        <f>a.*kc./G.*(H778-I778)</f>
        <v>0.49806360110862252</v>
      </c>
    </row>
    <row r="779" spans="5:14" x14ac:dyDescent="0.25">
      <c r="E779">
        <v>777</v>
      </c>
      <c r="F779">
        <f>dz.*E779</f>
        <v>17.66674483218295</v>
      </c>
      <c r="G779">
        <f>G778+L778*dz.</f>
        <v>3.8385147929083208</v>
      </c>
      <c r="H779">
        <f>H778+M778*dz.</f>
        <v>319.97824966951282</v>
      </c>
      <c r="I779">
        <f>I778+N778*dz.</f>
        <v>319.39723000656357</v>
      </c>
      <c r="J779">
        <f>(10^(AntA.-AntB./(AntC.+(H779-273.15)))*101325/760)</f>
        <v>10495.397684872993</v>
      </c>
      <c r="K779">
        <f>(J779/(R.*H779)-G779)</f>
        <v>0.10667972209071586</v>
      </c>
      <c r="L779">
        <f>a.*kc./G.*K779</f>
        <v>9.1502899937371013E-2</v>
      </c>
      <c r="M779">
        <f>a.*h./(L.*Cpw.)*(H779-I779)+a.*lambda.*kc./(L.*Cpw.)*K779</f>
        <v>0.51381272943887413</v>
      </c>
      <c r="N779">
        <f>a.*kc./G.*(H779-I779)</f>
        <v>0.49836072909226931</v>
      </c>
    </row>
    <row r="780" spans="5:14" x14ac:dyDescent="0.25">
      <c r="E780">
        <v>778</v>
      </c>
      <c r="F780">
        <f>dz.*E780</f>
        <v>17.689481955519092</v>
      </c>
      <c r="G780">
        <f>G779+L779*dz.</f>
        <v>3.8405953056298117</v>
      </c>
      <c r="H780">
        <f>H779+M779*dz.</f>
        <v>319.98993229291375</v>
      </c>
      <c r="I780">
        <f>I779+N779*dz.</f>
        <v>319.40856129592686</v>
      </c>
      <c r="J780">
        <f>(10^(AntA.-AntB./(AntC.+(H780-273.15)))*101325/760)</f>
        <v>10501.620191761805</v>
      </c>
      <c r="K780">
        <f>(J780/(R.*H780)-G780)</f>
        <v>0.1067941127343679</v>
      </c>
      <c r="L780">
        <f>a.*kc./G.*K780</f>
        <v>9.1601016762337645E-2</v>
      </c>
      <c r="M780">
        <f>a.*h./(L.*Cpw.)*(H780-I780)+a.*lambda.*kc./(L.*Cpw.)*K780</f>
        <v>0.51433122202818593</v>
      </c>
      <c r="N780">
        <f>a.*kc./G.*(H780-I780)</f>
        <v>0.4986620804893413</v>
      </c>
    </row>
    <row r="781" spans="5:14" x14ac:dyDescent="0.25">
      <c r="E781">
        <v>779</v>
      </c>
      <c r="F781">
        <f>dz.*E781</f>
        <v>17.712219078855234</v>
      </c>
      <c r="G781">
        <f>G780+L780*dz.</f>
        <v>3.8426780492456531</v>
      </c>
      <c r="H781">
        <f>H780+M780*dz.</f>
        <v>320.00162670534462</v>
      </c>
      <c r="I781">
        <f>I780+N780*dz.</f>
        <v>319.41989943715402</v>
      </c>
      <c r="J781">
        <f>(10^(AntA.-AntB./(AntC.+(H781-273.15)))*101325/760)</f>
        <v>10507.852152631835</v>
      </c>
      <c r="K781">
        <f>(J781/(R.*H781)-G781)</f>
        <v>0.10690952018474809</v>
      </c>
      <c r="L781">
        <f>a.*kc./G.*K781</f>
        <v>9.1700005737723106E-2</v>
      </c>
      <c r="M781">
        <f>a.*h./(L.*Cpw.)*(H781-I781)+a.*lambda.*kc./(L.*Cpw.)*K781</f>
        <v>0.51485454019462951</v>
      </c>
      <c r="N781">
        <f>a.*kc./G.*(H781-I781)</f>
        <v>0.49896766666509329</v>
      </c>
    </row>
    <row r="782" spans="5:14" x14ac:dyDescent="0.25">
      <c r="E782">
        <v>780</v>
      </c>
      <c r="F782">
        <f>dz.*E782</f>
        <v>17.734956202191377</v>
      </c>
      <c r="G782">
        <f>G781+L781*dz.</f>
        <v>3.8447630435860369</v>
      </c>
      <c r="H782">
        <f>H781+M781*dz.</f>
        <v>320.01333301652522</v>
      </c>
      <c r="I782">
        <f>I781+N781*dz.</f>
        <v>319.43124452653171</v>
      </c>
      <c r="J782">
        <f>(10^(AntA.-AntB./(AntC.+(H782-273.15)))*101325/760)</f>
        <v>10514.093636938704</v>
      </c>
      <c r="K782">
        <f>(J782/(R.*H782)-G782)</f>
        <v>0.10702594876310956</v>
      </c>
      <c r="L782">
        <f>a.*kc./G.*K782</f>
        <v>9.1799870570016179E-2</v>
      </c>
      <c r="M782">
        <f>a.*h./(L.*Cpw.)*(H782-I782)+a.*lambda.*kc./(L.*Cpw.)*K782</f>
        <v>0.51538270354416571</v>
      </c>
      <c r="N782">
        <f>a.*kc./G.*(H782-I782)</f>
        <v>0.49927749914158104</v>
      </c>
    </row>
    <row r="783" spans="5:14" x14ac:dyDescent="0.25">
      <c r="E783">
        <v>781</v>
      </c>
      <c r="F783">
        <f>dz.*E783</f>
        <v>17.757693325527519</v>
      </c>
      <c r="G783">
        <f>G782+L782*dz.</f>
        <v>3.8468503085654295</v>
      </c>
      <c r="H783">
        <f>H782+M782*dz.</f>
        <v>320.025051336621</v>
      </c>
      <c r="I783">
        <f>I782+N782*dz.</f>
        <v>319.44259666060867</v>
      </c>
      <c r="J783">
        <f>(10^(AntA.-AntB./(AntC.+(H783-273.15)))*101325/760)</f>
        <v>10520.344714513711</v>
      </c>
      <c r="K783">
        <f>(J783/(R.*H783)-G783)</f>
        <v>0.10714340283484214</v>
      </c>
      <c r="L783">
        <f>a.*kc./G.*K783</f>
        <v>9.1900615003563196E-2</v>
      </c>
      <c r="M783">
        <f>a.*h./(L.*Cpw.)*(H783-I783)+a.*lambda.*kc./(L.*Cpw.)*K783</f>
        <v>0.51591573188855155</v>
      </c>
      <c r="N783">
        <f>a.*kc./G.*(H783-I783)</f>
        <v>0.49959158959834415</v>
      </c>
    </row>
    <row r="784" spans="5:14" x14ac:dyDescent="0.25">
      <c r="E784">
        <v>782</v>
      </c>
      <c r="F784">
        <f>dz.*E784</f>
        <v>17.780430448863662</v>
      </c>
      <c r="G784">
        <f>G783+L783*dz.</f>
        <v>3.8489398641834329</v>
      </c>
      <c r="H784">
        <f>H783+M783*dz.</f>
        <v>320.03678177624801</v>
      </c>
      <c r="I784">
        <f>I783+N783*dz.</f>
        <v>319.45395593619907</v>
      </c>
      <c r="J784">
        <f>(10^(AntA.-AntB./(AntC.+(H784-273.15)))*101325/760)</f>
        <v>10526.605455567285</v>
      </c>
      <c r="K784">
        <f>(J784/(R.*H784)-G784)</f>
        <v>0.10726188680978765</v>
      </c>
      <c r="L784">
        <f>a.*kc./G.*K784</f>
        <v>9.2002242820838562E-2</v>
      </c>
      <c r="M784">
        <f>a.*h./(L.*Cpw.)*(H784-I784)+a.*lambda.*kc./(L.*Cpw.)*K784</f>
        <v>0.51645364524683723</v>
      </c>
      <c r="N784">
        <f>a.*kc./G.*(H784-I784)</f>
        <v>0.49990994987372234</v>
      </c>
    </row>
    <row r="785" spans="5:14" x14ac:dyDescent="0.25">
      <c r="E785">
        <v>783</v>
      </c>
      <c r="F785">
        <f>dz.*E785</f>
        <v>17.803167572199808</v>
      </c>
      <c r="G785">
        <f>G784+L784*dz.</f>
        <v>3.8510317305256523</v>
      </c>
      <c r="H785">
        <f>H784+M784*dz.</f>
        <v>320.04852444647736</v>
      </c>
      <c r="I785">
        <f>I784+N784*dz.</f>
        <v>319.46532245038628</v>
      </c>
      <c r="J785">
        <f>(10^(AntA.-AntB./(AntC.+(H785-273.15)))*101325/760)</f>
        <v>10532.875930692633</v>
      </c>
      <c r="K785">
        <f>(J785/(R.*H785)-G785)</f>
        <v>0.10738140514262806</v>
      </c>
      <c r="L785">
        <f>a.*kc./G.*K785</f>
        <v>9.2104757842777565E-2</v>
      </c>
      <c r="M785">
        <f>a.*h./(L.*Cpw.)*(H785-I785)+a.*lambda.*kc./(L.*Cpw.)*K785</f>
        <v>0.5169964638470711</v>
      </c>
      <c r="N785">
        <f>a.*kc./G.*(H785-I785)</f>
        <v>0.5002325919654893</v>
      </c>
    </row>
    <row r="786" spans="5:14" x14ac:dyDescent="0.25">
      <c r="E786">
        <v>784</v>
      </c>
      <c r="F786">
        <f>dz.*E786</f>
        <v>17.82590469553595</v>
      </c>
      <c r="G786">
        <f>G785+L785*dz.</f>
        <v>3.8531259277645691</v>
      </c>
      <c r="H786">
        <f>H785+M785*dz.</f>
        <v>320.06027945884023</v>
      </c>
      <c r="I786">
        <f>I785+N785*dz.</f>
        <v>319.47669630052656</v>
      </c>
      <c r="J786">
        <f>(10^(AntA.-AntB./(AntC.+(H786-273.15)))*101325/760)</f>
        <v>10539.156210869463</v>
      </c>
      <c r="K786">
        <f>(J786/(R.*H786)-G786)</f>
        <v>0.10750196233329135</v>
      </c>
      <c r="L786">
        <f>a.*kc./G.*K786</f>
        <v>9.2208163929124634E-2</v>
      </c>
      <c r="M786">
        <f>a.*h./(L.*Cpw.)*(H786-I786)+a.*lambda.*kc./(L.*Cpw.)*K786</f>
        <v>0.51754420812814672</v>
      </c>
      <c r="N786">
        <f>a.*kc./G.*(H786-I786)</f>
        <v>0.50055952803197423</v>
      </c>
    </row>
    <row r="787" spans="5:14" x14ac:dyDescent="0.25">
      <c r="E787">
        <v>785</v>
      </c>
      <c r="F787">
        <f>dz.*E787</f>
        <v>17.848641818872093</v>
      </c>
      <c r="G787">
        <f>G786+L786*dz.</f>
        <v>3.8552224761604248</v>
      </c>
      <c r="H787">
        <f>H786+M786*dz.</f>
        <v>320.07204692533236</v>
      </c>
      <c r="I787">
        <f>I786+N786*dz.</f>
        <v>319.48807758425249</v>
      </c>
      <c r="J787">
        <f>(10^(AntA.-AntB./(AntC.+(H787-273.15)))*101325/760)</f>
        <v>10545.446367467413</v>
      </c>
      <c r="K787">
        <f>(J787/(R.*H787)-G787)</f>
        <v>0.10762356292723529</v>
      </c>
      <c r="L787">
        <f>a.*kc./G.*K787</f>
        <v>9.2312464978676637E-2</v>
      </c>
      <c r="M787">
        <f>a.*h./(L.*Cpw.)*(H787-I787)+a.*lambda.*kc./(L.*Cpw.)*K787</f>
        <v>0.51809689874110754</v>
      </c>
      <c r="N787">
        <f>a.*kc./G.*(H787-I787)</f>
        <v>0.50089077039293928</v>
      </c>
    </row>
    <row r="788" spans="5:14" x14ac:dyDescent="0.25">
      <c r="E788">
        <v>786</v>
      </c>
      <c r="F788">
        <f>dz.*E788</f>
        <v>17.871378942208235</v>
      </c>
      <c r="G788">
        <f>G787+L787*dz.</f>
        <v>3.8573213960621082</v>
      </c>
      <c r="H788">
        <f>H787+M787*dz.</f>
        <v>320.08382695841908</v>
      </c>
      <c r="I788">
        <f>I787+N787*dz.</f>
        <v>319.49946639947683</v>
      </c>
      <c r="J788">
        <f>(10^(AntA.-AntB./(AntC.+(H788-273.15)))*101325/760)</f>
        <v>10551.746472249944</v>
      </c>
      <c r="K788">
        <f>(J788/(R.*H788)-G788)</f>
        <v>0.1077462115159018</v>
      </c>
      <c r="L788">
        <f>a.*kc./G.*K788</f>
        <v>9.2417664929672641E-2</v>
      </c>
      <c r="M788">
        <f>a.*h./(L.*Cpw.)*(H788-I788)+a.*lambda.*kc./(L.*Cpw.)*K788</f>
        <v>0.51865455655118797</v>
      </c>
      <c r="N788">
        <f>a.*kc./G.*(H788-I788)</f>
        <v>0.50122633153065221</v>
      </c>
    </row>
    <row r="789" spans="5:14" x14ac:dyDescent="0.25">
      <c r="E789">
        <v>787</v>
      </c>
      <c r="F789">
        <f>dz.*E789</f>
        <v>17.894116065544377</v>
      </c>
      <c r="G789">
        <f>G788+L788*dz.</f>
        <v>3.8594227079080525</v>
      </c>
      <c r="H789">
        <f>H788+M788*dz.</f>
        <v>320.09561967104025</v>
      </c>
      <c r="I789">
        <f>I788+N788*dz.</f>
        <v>319.51086284439617</v>
      </c>
      <c r="J789">
        <f>(10^(AntA.-AntB./(AntC.+(H789-273.15)))*101325/760)</f>
        <v>10558.056597378043</v>
      </c>
      <c r="K789">
        <f>(J789/(R.*H789)-G789)</f>
        <v>0.10786991273708857</v>
      </c>
      <c r="L789">
        <f>a.*kc./G.*K789</f>
        <v>9.2523767760112702E-2</v>
      </c>
      <c r="M789">
        <f>a.*h./(L.*Cpw.)*(H789-I789)+a.*lambda.*kc./(L.*Cpw.)*K789</f>
        <v>0.51921720263950566</v>
      </c>
      <c r="N789">
        <f>a.*kc./G.*(H789-I789)</f>
        <v>0.50156622409091023</v>
      </c>
    </row>
    <row r="790" spans="5:14" x14ac:dyDescent="0.25">
      <c r="E790">
        <v>788</v>
      </c>
      <c r="F790">
        <f>dz.*E790</f>
        <v>17.91685318888052</v>
      </c>
      <c r="G790">
        <f>G789+L789*dz.</f>
        <v>3.861526432227139</v>
      </c>
      <c r="H790">
        <f>H789+M789*dz.</f>
        <v>320.10742517661492</v>
      </c>
      <c r="I790">
        <f>I789+N789*dz.</f>
        <v>319.52226701749458</v>
      </c>
      <c r="J790">
        <f>(10^(AntA.-AntB./(AntC.+(H790-273.15)))*101325/760)</f>
        <v>10564.376815413973</v>
      </c>
      <c r="K790">
        <f>(J790/(R.*H790)-G790)</f>
        <v>0.10799467127532836</v>
      </c>
      <c r="L790">
        <f>a.*kc./G.*K790</f>
        <v>9.2630777488083127E-2</v>
      </c>
      <c r="M790">
        <f>a.*h./(L.*Cpw.)*(H790-I790)+a.*lambda.*kc./(L.*Cpw.)*K790</f>
        <v>0.51978485830476928</v>
      </c>
      <c r="N790">
        <f>a.*kc./G.*(H790-I790)</f>
        <v>0.50191046088396674</v>
      </c>
    </row>
    <row r="791" spans="5:14" x14ac:dyDescent="0.25">
      <c r="E791">
        <v>789</v>
      </c>
      <c r="F791">
        <f>dz.*E791</f>
        <v>17.939590312216662</v>
      </c>
      <c r="G791">
        <f>G790+L790*dz.</f>
        <v>3.8636325896396082</v>
      </c>
      <c r="H791">
        <f>H790+M790*dz.</f>
        <v>320.11924358904645</v>
      </c>
      <c r="I791">
        <f>I790+N790*dz.</f>
        <v>319.5336790175474</v>
      </c>
      <c r="J791">
        <f>(10^(AntA.-AntB./(AntC.+(H791-273.15)))*101325/760)</f>
        <v>10570.70719932499</v>
      </c>
      <c r="K791">
        <f>(J791/(R.*H791)-G791)</f>
        <v>0.10812049186225181</v>
      </c>
      <c r="L791">
        <f>a.*kc./G.*K791</f>
        <v>9.2738698172067729E-2</v>
      </c>
      <c r="M791">
        <f>a.*h./(L.*Cpw.)*(H791-I791)+a.*lambda.*kc./(L.*Cpw.)*K791</f>
        <v>0.52035754506494647</v>
      </c>
      <c r="N791">
        <f>a.*kc./G.*(H791-I791)</f>
        <v>0.50225905488565237</v>
      </c>
    </row>
    <row r="792" spans="5:14" x14ac:dyDescent="0.25">
      <c r="E792">
        <v>790</v>
      </c>
      <c r="F792">
        <f>dz.*E792</f>
        <v>17.962327435552805</v>
      </c>
      <c r="G792">
        <f>G791+L791*dz.</f>
        <v>3.8657412008579799</v>
      </c>
      <c r="H792">
        <f>H791+M791*dz.</f>
        <v>320.13107502272749</v>
      </c>
      <c r="I792">
        <f>I791+N791*dz.</f>
        <v>319.54509894362502</v>
      </c>
      <c r="J792">
        <f>(10^(AntA.-AntB./(AntC.+(H792-273.15)))*101325/760)</f>
        <v>10577.0478224874</v>
      </c>
      <c r="K792">
        <f>(J792/(R.*H792)-G792)</f>
        <v>0.10824737927706085</v>
      </c>
      <c r="L792">
        <f>a.*kc./G.*K792</f>
        <v>9.2847533911353877E-2</v>
      </c>
      <c r="M792">
        <f>a.*h./(L.*Cpw.)*(H792-I792)+a.*lambda.*kc./(L.*Cpw.)*K792</f>
        <v>0.52093528465937877</v>
      </c>
      <c r="N792">
        <f>a.*kc./G.*(H792-I792)</f>
        <v>0.50261201923839871</v>
      </c>
    </row>
    <row r="793" spans="5:14" x14ac:dyDescent="0.25">
      <c r="E793">
        <v>791</v>
      </c>
      <c r="F793">
        <f>dz.*E793</f>
        <v>17.985064558888947</v>
      </c>
      <c r="G793">
        <f>G792+L792*dz.</f>
        <v>3.8678522866879792</v>
      </c>
      <c r="H793">
        <f>H792+M792*dz.</f>
        <v>320.14291959254496</v>
      </c>
      <c r="I793">
        <f>I792+N792*dz.</f>
        <v>319.55652689509668</v>
      </c>
      <c r="J793">
        <f>(10^(AntA.-AntB./(AntC.+(H793-273.15)))*101325/760)</f>
        <v>10583.398758690228</v>
      </c>
      <c r="K793">
        <f>(J793/(R.*H793)-G793)</f>
        <v>0.10837533834685642</v>
      </c>
      <c r="L793">
        <f>a.*kc./G.*K793</f>
        <v>9.295728884631356E-2</v>
      </c>
      <c r="M793">
        <f>a.*h./(L.*Cpw.)*(H793-I793)+a.*lambda.*kc./(L.*Cpw.)*K793</f>
        <v>0.52151809905028923</v>
      </c>
      <c r="N793">
        <f>a.*kc./G.*(H793-I793)</f>
        <v>0.50296936725226282</v>
      </c>
    </row>
    <row r="794" spans="5:14" x14ac:dyDescent="0.25">
      <c r="E794">
        <v>792</v>
      </c>
      <c r="F794">
        <f>dz.*E794</f>
        <v>18.007801682225093</v>
      </c>
      <c r="G794">
        <f>G793+L793*dz.</f>
        <v>3.8699658680294711</v>
      </c>
      <c r="H794">
        <f>H793+M793*dz.</f>
        <v>320.15477741388509</v>
      </c>
      <c r="I794">
        <f>I793+N793*dz.</f>
        <v>319.56796297163419</v>
      </c>
      <c r="J794">
        <f>(10^(AntA.-AntB./(AntC.+(H794-273.15)))*101325/760)</f>
        <v>10589.760082139208</v>
      </c>
      <c r="K794">
        <f>(J794/(R.*H794)-G794)</f>
        <v>0.10850437394707368</v>
      </c>
      <c r="L794">
        <f>a.*kc./G.*K794</f>
        <v>9.3067967158776715E-2</v>
      </c>
      <c r="M794">
        <f>a.*h./(L.*Cpw.)*(H794-I794)+a.*lambda.*kc./(L.*Cpw.)*K794</f>
        <v>0.52210601042475158</v>
      </c>
      <c r="N794">
        <f>a.*kc./G.*(H794-I794)</f>
        <v>0.503331112406048</v>
      </c>
    </row>
    <row r="795" spans="5:14" x14ac:dyDescent="0.25">
      <c r="E795">
        <v>793</v>
      </c>
      <c r="F795">
        <f>dz.*E795</f>
        <v>18.030538805561235</v>
      </c>
      <c r="G795">
        <f>G794+L794*dz.</f>
        <v>3.8720819658774044</v>
      </c>
      <c r="H795">
        <f>H794+M794*dz.</f>
        <v>320.16664860263865</v>
      </c>
      <c r="I795">
        <f>I794+N794*dz.</f>
        <v>319.57940727321591</v>
      </c>
      <c r="J795">
        <f>(10^(AntA.-AntB./(AntC.+(H795-273.15)))*101325/760)</f>
        <v>10596.13186746083</v>
      </c>
      <c r="K795">
        <f>(J795/(R.*H795)-G795)</f>
        <v>0.10863449100192213</v>
      </c>
      <c r="L795">
        <f>a.*kc./G.*K795</f>
        <v>9.317957307240872E-2</v>
      </c>
      <c r="M795">
        <f>a.*h./(L.*Cpw.)*(H795-I795)+a.*lambda.*kc./(L.*Cpw.)*K795</f>
        <v>0.52269904119667299</v>
      </c>
      <c r="N795">
        <f>a.*kc./G.*(H795-I795)</f>
        <v>0.50369726834837691</v>
      </c>
    </row>
    <row r="796" spans="5:14" x14ac:dyDescent="0.25">
      <c r="E796">
        <v>794</v>
      </c>
      <c r="F796">
        <f>dz.*E796</f>
        <v>18.053275928897378</v>
      </c>
      <c r="G796">
        <f>G795+L795*dz.</f>
        <v>3.874200601322761</v>
      </c>
      <c r="H796">
        <f>H795+M795*dz.</f>
        <v>320.17853327520601</v>
      </c>
      <c r="I796">
        <f>I795+N795*dz.</f>
        <v>319.5908599001304</v>
      </c>
      <c r="J796">
        <f>(10^(AntA.-AntB./(AntC.+(H796-273.15)))*101325/760)</f>
        <v>10602.514189706171</v>
      </c>
      <c r="K796">
        <f>(J796/(R.*H796)-G796)</f>
        <v>0.10876569448475104</v>
      </c>
      <c r="L796">
        <f>a.*kc./G.*K796</f>
        <v>9.3292110853023857E-2</v>
      </c>
      <c r="M796">
        <f>a.*h./(L.*Cpw.)*(H796-I796)+a.*lambda.*kc./(L.*Cpw.)*K796</f>
        <v>0.52329721400848617</v>
      </c>
      <c r="N796">
        <f>a.*kc./G.*(H796-I796)</f>
        <v>0.50406784889890999</v>
      </c>
    </row>
    <row r="797" spans="5:14" x14ac:dyDescent="0.25">
      <c r="E797">
        <v>795</v>
      </c>
      <c r="F797">
        <f>dz.*E797</f>
        <v>18.07601305223352</v>
      </c>
      <c r="G797">
        <f>G796+L796*dz.</f>
        <v>3.8763217955535154</v>
      </c>
      <c r="H797">
        <f>H796+M796*dz.</f>
        <v>320.19043154850237</v>
      </c>
      <c r="I797">
        <f>I796+N796*dz.</f>
        <v>319.60232095298062</v>
      </c>
      <c r="J797">
        <f>(10^(AntA.-AntB./(AntC.+(H797-273.15)))*101325/760)</f>
        <v>10608.907124355135</v>
      </c>
      <c r="K797">
        <f>(J797/(R.*H797)-G797)</f>
        <v>0.10889798941854201</v>
      </c>
      <c r="L797">
        <f>a.*kc./G.*K797</f>
        <v>9.340558480900775E-2</v>
      </c>
      <c r="M797">
        <f>a.*h./(L.*Cpw.)*(H797-I797)+a.*lambda.*kc./(L.*Cpw.)*K797</f>
        <v>0.52390055173332373</v>
      </c>
      <c r="N797">
        <f>a.*kc./G.*(H797-I797)</f>
        <v>0.50444286804922356</v>
      </c>
    </row>
    <row r="798" spans="5:14" x14ac:dyDescent="0.25">
      <c r="E798">
        <v>796</v>
      </c>
      <c r="F798">
        <f>dz.*E798</f>
        <v>18.098750175569663</v>
      </c>
      <c r="G798">
        <f>G797+L797*dz.</f>
        <v>3.8784455698556024</v>
      </c>
      <c r="H798">
        <f>H797+M797*dz.</f>
        <v>320.20234353996301</v>
      </c>
      <c r="I798">
        <f>I797+N797*dz.</f>
        <v>319.61379053268752</v>
      </c>
      <c r="J798">
        <f>(10^(AntA.-AntB./(AntC.+(H798-273.15)))*101325/760)</f>
        <v>10615.310747320293</v>
      </c>
      <c r="K798">
        <f>(J798/(R.*H798)-G798)</f>
        <v>0.10903138087625486</v>
      </c>
      <c r="L798">
        <f>a.*kc./G.*K798</f>
        <v>9.35199992916141E-2</v>
      </c>
      <c r="M798">
        <f>a.*h./(L.*Cpw.)*(H798-I798)+a.*lambda.*kc./(L.*Cpw.)*K798</f>
        <v>0.52450907747665543</v>
      </c>
      <c r="N798">
        <f>a.*kc./G.*(H798-I798)</f>
        <v>0.50482233996422354</v>
      </c>
    </row>
    <row r="799" spans="5:14" x14ac:dyDescent="0.25">
      <c r="E799">
        <v>797</v>
      </c>
      <c r="F799">
        <f>dz.*E799</f>
        <v>18.121487298905805</v>
      </c>
      <c r="G799">
        <f>G798+L798*dz.</f>
        <v>3.8805719456138918</v>
      </c>
      <c r="H799">
        <f>H798+M798*dz.</f>
        <v>320.21426936754852</v>
      </c>
      <c r="I799">
        <f>I798+N798*dz.</f>
        <v>319.62526874049411</v>
      </c>
      <c r="J799">
        <f>(10^(AntA.-AntB./(AntC.+(H799-273.15)))*101325/760)</f>
        <v>10621.725134951193</v>
      </c>
      <c r="K799">
        <f>(J799/(R.*H799)-G799)</f>
        <v>0.10916587398133304</v>
      </c>
      <c r="L799">
        <f>a.*kc./G.*K799</f>
        <v>9.3635358695398171E-2</v>
      </c>
      <c r="M799">
        <f>a.*h./(L.*Cpw.)*(H799-I799)+a.*lambda.*kc./(L.*Cpw.)*K799</f>
        <v>0.52512281457853682</v>
      </c>
      <c r="N799">
        <f>a.*kc./G.*(H799-I799)</f>
        <v>0.50520627898316928</v>
      </c>
    </row>
    <row r="800" spans="5:14" x14ac:dyDescent="0.25">
      <c r="E800">
        <v>798</v>
      </c>
      <c r="F800">
        <f>dz.*E800</f>
        <v>18.144224422241948</v>
      </c>
      <c r="G800">
        <f>G799+L799*dz.</f>
        <v>3.8827009443131733</v>
      </c>
      <c r="H800">
        <f>H799+M799*dz.</f>
        <v>320.22620914975022</v>
      </c>
      <c r="I800">
        <f>I799+N799*dz.</f>
        <v>319.63675567796952</v>
      </c>
      <c r="J800">
        <f>(10^(AntA.-AntB./(AntC.+(H800-273.15)))*101325/760)</f>
        <v>10628.150364038405</v>
      </c>
      <c r="K800">
        <f>(J800/(R.*H800)-G800)</f>
        <v>0.10930147390809664</v>
      </c>
      <c r="L800">
        <f>a.*kc./G.*K800</f>
        <v>9.3751667458553858E-2</v>
      </c>
      <c r="M800">
        <f>a.*h./(L.*Cpw.)*(H800-I800)+a.*lambda.*kc./(L.*Cpw.)*K800</f>
        <v>0.52574178661540194</v>
      </c>
      <c r="N800">
        <f>a.*kc./G.*(H800-I800)</f>
        <v>0.50559469962079517</v>
      </c>
    </row>
    <row r="801" spans="5:14" x14ac:dyDescent="0.25">
      <c r="E801">
        <v>799</v>
      </c>
      <c r="F801">
        <f>dz.*E801</f>
        <v>18.16696154557809</v>
      </c>
      <c r="G801">
        <f>G800+L800*dz.</f>
        <v>3.8848325875391474</v>
      </c>
      <c r="H801">
        <f>H800+M800*dz.</f>
        <v>320.23816300559548</v>
      </c>
      <c r="I801">
        <f>I800+N800*dz.</f>
        <v>319.64825144701291</v>
      </c>
      <c r="J801">
        <f>(10^(AntA.-AntB./(AntC.+(H801-273.15)))*101325/760)</f>
        <v>10634.586511817764</v>
      </c>
      <c r="K801">
        <f>(J801/(R.*H801)-G801)</f>
        <v>0.10943818588221221</v>
      </c>
      <c r="L801">
        <f>a.*kc./G.*K801</f>
        <v>9.3868930063316744E-2</v>
      </c>
      <c r="M801">
        <f>a.*h./(L.*Cpw.)*(H801-I801)+a.*lambda.*kc./(L.*Cpw.)*K801</f>
        <v>0.52636601740219791</v>
      </c>
      <c r="N801">
        <f>a.*kc./G.*(H801-I801)</f>
        <v>0.50598761656857794</v>
      </c>
    </row>
    <row r="802" spans="5:14" x14ac:dyDescent="0.25">
      <c r="E802">
        <v>800</v>
      </c>
      <c r="F802">
        <f>dz.*E802</f>
        <v>18.189698668914232</v>
      </c>
      <c r="G802">
        <f>G801+L801*dz.</f>
        <v>3.8869668969794287</v>
      </c>
      <c r="H802">
        <f>H801+M801*dz.</f>
        <v>320.25013105465308</v>
      </c>
      <c r="I802">
        <f>I801+N801*dz.</f>
        <v>319.6597561498574</v>
      </c>
      <c r="J802">
        <f>(10^(AntA.-AntB./(AntC.+(H802-273.15)))*101325/760)</f>
        <v>10641.033655974607</v>
      </c>
      <c r="K802">
        <f>(J802/(R.*H802)-G802)</f>
        <v>0.10957601518113647</v>
      </c>
      <c r="L802">
        <f>a.*kc./G.*K802</f>
        <v>9.3987151036344585E-2</v>
      </c>
      <c r="M802">
        <f>a.*h./(L.*Cpw.)*(H802-I802)+a.*lambda.*kc./(L.*Cpw.)*K802</f>
        <v>0.52699553099439522</v>
      </c>
      <c r="N802">
        <f>a.*kc./G.*(H802-I802)</f>
        <v>0.50638504469590728</v>
      </c>
    </row>
    <row r="803" spans="5:14" x14ac:dyDescent="0.25">
      <c r="E803">
        <v>801</v>
      </c>
      <c r="F803">
        <f>dz.*E803</f>
        <v>18.212435792250375</v>
      </c>
      <c r="G803">
        <f>G802+L802*dz.</f>
        <v>3.8891038944245548</v>
      </c>
      <c r="H803">
        <f>H802+M802*dz.</f>
        <v>320.2621134170389</v>
      </c>
      <c r="I803">
        <f>I802+N802*dz.</f>
        <v>319.67126988907421</v>
      </c>
      <c r="J803">
        <f>(10^(AntA.-AntB./(AntC.+(H803-273.15)))*101325/760)</f>
        <v>10647.491874648038</v>
      </c>
      <c r="K803">
        <f>(J803/(R.*H803)-G803)</f>
        <v>0.1097149671345683</v>
      </c>
      <c r="L803">
        <f>a.*kc./G.*K803</f>
        <v>9.41063349491051E-2</v>
      </c>
      <c r="M803">
        <f>a.*h./(L.*Cpw.)*(H803-I803)+a.*lambda.*kc./(L.*Cpw.)*K803</f>
        <v>0.52763035169006156</v>
      </c>
      <c r="N803">
        <f>a.*kc./G.*(H803-I803)</f>
        <v>0.50678699905145075</v>
      </c>
    </row>
    <row r="804" spans="5:14" x14ac:dyDescent="0.25">
      <c r="E804">
        <v>802</v>
      </c>
      <c r="F804">
        <f>dz.*E804</f>
        <v>18.235172915586521</v>
      </c>
      <c r="G804">
        <f>G803+L803*dz.</f>
        <v>3.8912436017690051</v>
      </c>
      <c r="H804">
        <f>H803+M803*dz.</f>
        <v>320.27411021342118</v>
      </c>
      <c r="I804">
        <f>I803+N803*dz.</f>
        <v>319.68279276757681</v>
      </c>
      <c r="J804">
        <f>(10^(AntA.-AntB./(AntC.+(H804-273.15)))*101325/760)</f>
        <v>10653.961246435258</v>
      </c>
      <c r="K804">
        <f>(J804/(R.*H804)-G804)</f>
        <v>0.10985504712491023</v>
      </c>
      <c r="L804">
        <f>a.*kc./G.*K804</f>
        <v>9.4226486418271707E-2</v>
      </c>
      <c r="M804">
        <f>a.*h./(L.*Cpw.)*(H804-I804)+a.*lambda.*kc./(L.*Cpw.)*K804</f>
        <v>0.52827050403191311</v>
      </c>
      <c r="N804">
        <f>a.*kc./G.*(H804-I804)</f>
        <v>0.50719349486408005</v>
      </c>
    </row>
    <row r="805" spans="5:14" x14ac:dyDescent="0.25">
      <c r="E805">
        <v>803</v>
      </c>
      <c r="F805">
        <f>dz.*E805</f>
        <v>18.257910038922663</v>
      </c>
      <c r="G805">
        <f>G804+L804*dz.</f>
        <v>3.8933860410122287</v>
      </c>
      <c r="H805">
        <f>H804+M804*dz.</f>
        <v>320.28612156502618</v>
      </c>
      <c r="I805">
        <f>I804+N804*dz.</f>
        <v>319.69432488862481</v>
      </c>
      <c r="J805">
        <f>(10^(AntA.-AntB./(AntC.+(H805-273.15)))*101325/760)</f>
        <v>10660.441850395966</v>
      </c>
      <c r="K805">
        <f>(J805/(R.*H805)-G805)</f>
        <v>0.10999626058775203</v>
      </c>
      <c r="L805">
        <f>a.*kc./G.*K805</f>
        <v>9.4347610106138416E-2</v>
      </c>
      <c r="M805">
        <f>a.*h./(L.*Cpw.)*(H805-I805)+a.*lambda.*kc./(L.*Cpw.)*K805</f>
        <v>0.52891601280954592</v>
      </c>
      <c r="N805">
        <f>a.*kc./G.*(H805-I805)</f>
        <v>0.50760454754443174</v>
      </c>
    </row>
    <row r="806" spans="5:14" x14ac:dyDescent="0.25">
      <c r="E806">
        <v>804</v>
      </c>
      <c r="F806">
        <f>dz.*E806</f>
        <v>18.280647162258806</v>
      </c>
      <c r="G806">
        <f>G805+L805*dz.</f>
        <v>3.8955312342596824</v>
      </c>
      <c r="H806">
        <f>H805+M805*dz.</f>
        <v>320.29814759364388</v>
      </c>
      <c r="I806">
        <f>I805+N805*dz.</f>
        <v>319.70586635582833</v>
      </c>
      <c r="J806">
        <f>(10^(AntA.-AntB./(AntC.+(H806-273.15)))*101325/760)</f>
        <v>10666.93376605668</v>
      </c>
      <c r="K806">
        <f>(J806/(R.*H806)-G806)</f>
        <v>0.11013861301230632</v>
      </c>
      <c r="L806">
        <f>a.*kc./G.*K806</f>
        <v>9.4469710720993388E-2</v>
      </c>
      <c r="M806">
        <f>a.*h./(L.*Cpw.)*(H806-I806)+a.*lambda.*kc./(L.*Cpw.)*K806</f>
        <v>0.52956690306140053</v>
      </c>
      <c r="N806">
        <f>a.*kc./G.*(H806-I806)</f>
        <v>0.5080201726859791</v>
      </c>
    </row>
    <row r="807" spans="5:14" x14ac:dyDescent="0.25">
      <c r="E807">
        <v>805</v>
      </c>
      <c r="F807">
        <f>dz.*E807</f>
        <v>18.303384285594948</v>
      </c>
      <c r="G807">
        <f>G806+L806*dz.</f>
        <v>3.8976792037238752</v>
      </c>
      <c r="H807">
        <f>H806+M806*dz.</f>
        <v>320.31018842163354</v>
      </c>
      <c r="I807">
        <f>I806+N806*dz.</f>
        <v>319.71741727315197</v>
      </c>
      <c r="J807">
        <f>(10^(AntA.-AntB./(AntC.+(H807-273.15)))*101325/760)</f>
        <v>10673.437073415329</v>
      </c>
      <c r="K807">
        <f>(J807/(R.*H807)-G807)</f>
        <v>0.11028210994193888</v>
      </c>
      <c r="L807">
        <f>a.*kc./G.*K807</f>
        <v>9.4592793017573826E-2</v>
      </c>
      <c r="M807">
        <f>a.*h./(L.*Cpw.)*(H807-I807)+a.*lambda.*kc./(L.*Cpw.)*K807</f>
        <v>0.53022320007717438</v>
      </c>
      <c r="N807">
        <f>a.*kc./G.*(H807-I807)</f>
        <v>0.50844038606649544</v>
      </c>
    </row>
    <row r="808" spans="5:14" x14ac:dyDescent="0.25">
      <c r="E808">
        <v>806</v>
      </c>
      <c r="F808">
        <f>dz.*E808</f>
        <v>18.32612140893109</v>
      </c>
      <c r="G808">
        <f>G807+L807*dz.</f>
        <v>3.8998299717254259</v>
      </c>
      <c r="H808">
        <f>H807+M807*dz.</f>
        <v>320.32224417192936</v>
      </c>
      <c r="I808">
        <f>I807+N807*dz.</f>
        <v>319.72897774491906</v>
      </c>
      <c r="J808">
        <f>(10^(AntA.-AntB./(AntC.+(H808-273.15)))*101325/760)</f>
        <v>10679.951852945604</v>
      </c>
      <c r="K808">
        <f>(J808/(R.*H808)-G808)</f>
        <v>0.11042675697459803</v>
      </c>
      <c r="L808">
        <f>a.*kc./G.*K808</f>
        <v>9.4716861797434271E-2</v>
      </c>
      <c r="M808">
        <f>a.*h./(L.*Cpw.)*(H808-I808)+a.*lambda.*kc./(L.*Cpw.)*K808</f>
        <v>0.5308849293997604</v>
      </c>
      <c r="N808">
        <f>a.*kc./G.*(H808-I808)</f>
        <v>0.50886520364912669</v>
      </c>
    </row>
    <row r="809" spans="5:14" x14ac:dyDescent="0.25">
      <c r="E809">
        <v>807</v>
      </c>
      <c r="F809">
        <f>dz.*E809</f>
        <v>18.348858532267233</v>
      </c>
      <c r="G809">
        <f>G808+L808*dz.</f>
        <v>3.9019835606941267</v>
      </c>
      <c r="H809">
        <f>H808+M808*dz.</f>
        <v>320.33431496804644</v>
      </c>
      <c r="I809">
        <f>I808+N808*dz.</f>
        <v>319.74054787581588</v>
      </c>
      <c r="J809">
        <f>(10^(AntA.-AntB./(AntC.+(H809-273.15)))*101325/760)</f>
        <v>10686.478185601651</v>
      </c>
      <c r="K809">
        <f>(J809/(R.*H809)-G809)</f>
        <v>0.11057255976335911</v>
      </c>
      <c r="L809">
        <f>a.*kc./G.*K809</f>
        <v>9.4841921909413665E-2</v>
      </c>
      <c r="M809">
        <f>a.*h./(L.*Cpw.)*(H809-I809)+a.*lambda.*kc./(L.*Cpw.)*K809</f>
        <v>0.5315521168277455</v>
      </c>
      <c r="N809">
        <f>a.*kc./G.*(H809-I809)</f>
        <v>0.5092946415840488</v>
      </c>
    </row>
    <row r="810" spans="5:14" x14ac:dyDescent="0.25">
      <c r="E810">
        <v>808</v>
      </c>
      <c r="F810">
        <f>dz.*E810</f>
        <v>18.371595655603375</v>
      </c>
      <c r="G810">
        <f>G809+L809*dz.</f>
        <v>3.904139993170018</v>
      </c>
      <c r="H810">
        <f>H809+M809*dz.</f>
        <v>320.34640093408632</v>
      </c>
      <c r="I810">
        <f>I809+N809*dz.</f>
        <v>319.75212777089604</v>
      </c>
      <c r="J810">
        <f>(10^(AntA.-AntB./(AntC.+(H810-273.15)))*101325/760)</f>
        <v>10693.016152822524</v>
      </c>
      <c r="K810">
        <f>(J810/(R.*H810)-G810)</f>
        <v>0.1107195240168739</v>
      </c>
      <c r="L810">
        <f>a.*kc./G.*K810</f>
        <v>9.4967978250020735E-2</v>
      </c>
      <c r="M810">
        <f>a.*h./(L.*Cpw.)*(H810-I810)+a.*lambda.*kc./(L.*Cpw.)*K810</f>
        <v>0.53222478841739818</v>
      </c>
      <c r="N810">
        <f>a.*kc./G.*(H810-I810)</f>
        <v>0.50972871620929694</v>
      </c>
    </row>
    <row r="811" spans="5:14" x14ac:dyDescent="0.25">
      <c r="E811">
        <v>809</v>
      </c>
      <c r="F811">
        <f>dz.*E811</f>
        <v>18.394332778939518</v>
      </c>
      <c r="G811">
        <f>G810+L810*dz.</f>
        <v>3.9062992918044728</v>
      </c>
      <c r="H811">
        <f>H810+M810*dz.</f>
        <v>320.3585021947431</v>
      </c>
      <c r="I811">
        <f>I810+N810*dz.</f>
        <v>319.76371753558448</v>
      </c>
      <c r="J811">
        <f>(10^(AntA.-AntB./(AntC.+(H811-273.15)))*101325/760)</f>
        <v>10699.565836536925</v>
      </c>
      <c r="K811">
        <f>(J811/(R.*H811)-G811)</f>
        <v>0.1108676554999013</v>
      </c>
      <c r="L811">
        <f>a.*kc./G.*K811</f>
        <v>9.5095035763889238E-2</v>
      </c>
      <c r="M811">
        <f>a.*h./(L.*Cpw.)*(H811-I811)+a.*lambda.*kc./(L.*Cpw.)*K811</f>
        <v>0.53290297048515145</v>
      </c>
      <c r="N811">
        <f>a.*kc./G.*(H811-I811)</f>
        <v>0.51016744405271552</v>
      </c>
    </row>
    <row r="812" spans="5:14" x14ac:dyDescent="0.25">
      <c r="E812">
        <v>810</v>
      </c>
      <c r="F812">
        <f>dz.*E812</f>
        <v>18.41706990227566</v>
      </c>
      <c r="G812">
        <f>G811+L811*dz.</f>
        <v>3.9084614793612911</v>
      </c>
      <c r="H812">
        <f>H811+M811*dz.</f>
        <v>320.37061887530922</v>
      </c>
      <c r="I812">
        <f>I811+N811*dz.</f>
        <v>319.77531727568197</v>
      </c>
      <c r="J812">
        <f>(10^(AntA.-AntB./(AntC.+(H812-273.15)))*101325/760)</f>
        <v>10706.127319167881</v>
      </c>
      <c r="K812">
        <f>(J812/(R.*H812)-G812)</f>
        <v>0.11101696003382333</v>
      </c>
      <c r="L812">
        <f>a.*kc./G.*K812</f>
        <v>9.5223099444220596E-2</v>
      </c>
      <c r="M812">
        <f>a.*h./(L.*Cpw.)*(H812-I812)+a.*lambda.*kc./(L.*Cpw.)*K812</f>
        <v>0.5335866896098943</v>
      </c>
      <c r="N812">
        <f>a.*kc./G.*(H812-I812)</f>
        <v>0.51061084183298222</v>
      </c>
    </row>
    <row r="813" spans="5:14" x14ac:dyDescent="0.25">
      <c r="E813">
        <v>811</v>
      </c>
      <c r="F813">
        <f>dz.*E813</f>
        <v>18.439807025611806</v>
      </c>
      <c r="G813">
        <f>G812+L812*dz.</f>
        <v>3.9106265787178041</v>
      </c>
      <c r="H813">
        <f>H812+M812*dz.</f>
        <v>320.38275110168138</v>
      </c>
      <c r="I813">
        <f>I812+N812*dz.</f>
        <v>319.78692709736947</v>
      </c>
      <c r="J813">
        <f>(10^(AntA.-AntB./(AntC.+(H813-273.15)))*101325/760)</f>
        <v>10712.700683637397</v>
      </c>
      <c r="K813">
        <f>(J813/(R.*H813)-G813)</f>
        <v>0.11116744349712349</v>
      </c>
      <c r="L813">
        <f>a.*kc./G.*K813</f>
        <v>9.5352174333194109E-2</v>
      </c>
      <c r="M813">
        <f>a.*h./(L.*Cpw.)*(H813-I813)+a.*lambda.*kc./(L.*Cpw.)*K813</f>
        <v>0.53427597263515503</v>
      </c>
      <c r="N813">
        <f>a.*kc./G.*(H813-I813)</f>
        <v>0.51105892646097306</v>
      </c>
    </row>
    <row r="814" spans="5:14" x14ac:dyDescent="0.25">
      <c r="E814">
        <v>812</v>
      </c>
      <c r="F814">
        <f>dz.*E814</f>
        <v>18.462544148947948</v>
      </c>
      <c r="G814">
        <f>G813+L813*dz.</f>
        <v>3.9127946128659872</v>
      </c>
      <c r="H814">
        <f>H813+M813*dz.</f>
        <v>320.39489900036671</v>
      </c>
      <c r="I814">
        <f>I813+N813*dz.</f>
        <v>319.79854710721247</v>
      </c>
      <c r="J814">
        <f>(10^(AntA.-AntB./(AntC.+(H814-273.15)))*101325/760)</f>
        <v>10719.286013371377</v>
      </c>
      <c r="K814">
        <f>(J814/(R.*H814)-G814)</f>
        <v>0.11131911182596266</v>
      </c>
      <c r="L814">
        <f>a.*kc./G.*K814</f>
        <v>9.548226552246096E-2</v>
      </c>
      <c r="M814">
        <f>a.*h./(L.*Cpw.)*(H814-I814)+a.*lambda.*kc./(L.*Cpw.)*K814</f>
        <v>0.53497084667171724</v>
      </c>
      <c r="N814">
        <f>a.*kc./G.*(H814-I814)</f>
        <v>0.51151171504132287</v>
      </c>
    </row>
    <row r="815" spans="5:14" x14ac:dyDescent="0.25">
      <c r="E815">
        <v>813</v>
      </c>
      <c r="F815">
        <f>dz.*E815</f>
        <v>18.485281272284091</v>
      </c>
      <c r="G815">
        <f>G814+L814*dz.</f>
        <v>3.9149656049135859</v>
      </c>
      <c r="H815">
        <f>H814+M814*dz.</f>
        <v>320.40706269848874</v>
      </c>
      <c r="I815">
        <f>I814+N814*dz.</f>
        <v>319.81017741216527</v>
      </c>
      <c r="J815">
        <f>(10^(AntA.-AntB./(AntC.+(H815-273.15)))*101325/760)</f>
        <v>10725.883392304313</v>
      </c>
      <c r="K815">
        <f>(J815/(R.*H815)-G815)</f>
        <v>0.11147197101465478</v>
      </c>
      <c r="L815">
        <f>a.*kc./G.*K815</f>
        <v>9.5613378153552267E-2</v>
      </c>
      <c r="M815">
        <f>a.*h./(L.*Cpw.)*(H815-I815)+a.*lambda.*kc./(L.*Cpw.)*K815</f>
        <v>0.53567133909980513</v>
      </c>
      <c r="N815">
        <f>a.*kc./G.*(H815-I815)</f>
        <v>0.51196922487388752</v>
      </c>
    </row>
    <row r="816" spans="5:14" x14ac:dyDescent="0.25">
      <c r="E816">
        <v>814</v>
      </c>
      <c r="F816">
        <f>dz.*E816</f>
        <v>18.508018395620233</v>
      </c>
      <c r="G816">
        <f>G815+L815*dz.</f>
        <v>3.9171395780852487</v>
      </c>
      <c r="H816">
        <f>H815+M815*dz.</f>
        <v>320.41924232379347</v>
      </c>
      <c r="I816">
        <f>I815+N815*dz.</f>
        <v>319.82181811957554</v>
      </c>
      <c r="J816">
        <f>(10^(AntA.-AntB./(AntC.+(H816-273.15)))*101325/760)</f>
        <v>10732.492904884262</v>
      </c>
      <c r="K816">
        <f>(J816/(R.*H816)-G816)</f>
        <v>0.11162602711623659</v>
      </c>
      <c r="L816">
        <f>a.*kc./G.*K816</f>
        <v>9.5745517418367704E-2</v>
      </c>
      <c r="M816">
        <f>a.*h./(L.*Cpw.)*(H816-I816)+a.*lambda.*kc./(L.*Cpw.)*K816</f>
        <v>0.53637747757163401</v>
      </c>
      <c r="N816">
        <f>a.*kc./G.*(H816-I816)</f>
        <v>0.51243147345501217</v>
      </c>
    </row>
    <row r="817" spans="5:14" x14ac:dyDescent="0.25">
      <c r="E817">
        <v>815</v>
      </c>
      <c r="F817">
        <f>dz.*E817</f>
        <v>18.530755518956376</v>
      </c>
      <c r="G817">
        <f>G816+L816*dz.</f>
        <v>3.9193165557236731</v>
      </c>
      <c r="H817">
        <f>H816+M816*dz.</f>
        <v>320.43143800465572</v>
      </c>
      <c r="I817">
        <f>I816+N816*dz.</f>
        <v>319.83346933718883</v>
      </c>
      <c r="J817">
        <f>(10^(AntA.-AntB./(AntC.+(H817-273.15)))*101325/760)</f>
        <v>10739.114636077709</v>
      </c>
      <c r="K817">
        <f>(J817/(R.*H817)-G817)</f>
        <v>0.11178128624298056</v>
      </c>
      <c r="L817">
        <f>a.*kc./G.*K817</f>
        <v>9.5878688559615483E-2</v>
      </c>
      <c r="M817">
        <f>a.*h./(L.*Cpw.)*(H817-I817)+a.*lambda.*kc./(L.*Cpw.)*K817</f>
        <v>0.53708929001377015</v>
      </c>
      <c r="N817">
        <f>a.*kc./G.*(H817-I817)</f>
        <v>0.51289847847913972</v>
      </c>
    </row>
    <row r="818" spans="5:14" x14ac:dyDescent="0.25">
      <c r="E818">
        <v>816</v>
      </c>
      <c r="F818">
        <f>dz.*E818</f>
        <v>18.553492642292518</v>
      </c>
      <c r="G818">
        <f>G817+L817*dz.</f>
        <v>3.9214965612907609</v>
      </c>
      <c r="H818">
        <f>H817+M817*dz.</f>
        <v>320.44364987008527</v>
      </c>
      <c r="I818">
        <f>I817+N817*dz.</f>
        <v>319.84513117315294</v>
      </c>
      <c r="J818">
        <f>(10^(AntA.-AntB./(AntC.+(H818-273.15)))*101325/760)</f>
        <v>10745.748671374684</v>
      </c>
      <c r="K818">
        <f>(J818/(R.*H818)-G818)</f>
        <v>0.11193775456699839</v>
      </c>
      <c r="L818">
        <f>a.*kc./G.*K818</f>
        <v>9.6012896871330022E-2</v>
      </c>
      <c r="M818">
        <f>a.*h./(L.*Cpw.)*(H818-I818)+a.*lambda.*kc./(L.*Cpw.)*K818</f>
        <v>0.53780680462985619</v>
      </c>
      <c r="N818">
        <f>a.*kc./G.*(H818-I818)</f>
        <v>0.51337025784032264</v>
      </c>
    </row>
    <row r="819" spans="5:14" x14ac:dyDescent="0.25">
      <c r="E819">
        <v>817</v>
      </c>
      <c r="F819">
        <f>dz.*E819</f>
        <v>18.576229765628661</v>
      </c>
      <c r="G819">
        <f>G818+L818*dz.</f>
        <v>3.9236796183687845</v>
      </c>
      <c r="H819">
        <f>H818+M818*dz.</f>
        <v>320.45587804973314</v>
      </c>
      <c r="I819">
        <f>I818+N818*dz.</f>
        <v>319.85680373602258</v>
      </c>
      <c r="J819">
        <f>(10^(AntA.-AntB./(AntC.+(H819-273.15)))*101325/760)</f>
        <v>10752.395096793633</v>
      </c>
      <c r="K819">
        <f>(J819/(R.*H819)-G819)</f>
        <v>0.11209543832073088</v>
      </c>
      <c r="L819">
        <f>a.*kc./G.*K819</f>
        <v>9.61481476992921E-2</v>
      </c>
      <c r="M819">
        <f>a.*h./(L.*Cpw.)*(H819-I819)+a.*lambda.*kc./(L.*Cpw.)*K819</f>
        <v>0.53853004990284148</v>
      </c>
      <c r="N819">
        <f>a.*kc./G.*(H819-I819)</f>
        <v>0.51384682963358763</v>
      </c>
    </row>
    <row r="820" spans="5:14" x14ac:dyDescent="0.25">
      <c r="E820">
        <v>818</v>
      </c>
      <c r="F820">
        <f>dz.*E820</f>
        <v>18.598966888964803</v>
      </c>
      <c r="G820">
        <f>G819+L819*dz.</f>
        <v>3.9258657506615648</v>
      </c>
      <c r="H820">
        <f>H819+M819*dz.</f>
        <v>320.46812267389799</v>
      </c>
      <c r="I820">
        <f>I819+N819*dz.</f>
        <v>319.86848713476382</v>
      </c>
      <c r="J820">
        <f>(10^(AntA.-AntB./(AntC.+(H820-273.15)))*101325/760)</f>
        <v>10759.053998886575</v>
      </c>
      <c r="K820">
        <f>(J820/(R.*H820)-G820)</f>
        <v>0.11225434379753718</v>
      </c>
      <c r="L820">
        <f>a.*kc./G.*K820</f>
        <v>9.6284446441534249E-2</v>
      </c>
      <c r="M820">
        <f>a.*h./(L.*Cpw.)*(H820-I820)+a.*lambda.*kc./(L.*Cpw.)*K820</f>
        <v>0.53925905459767465</v>
      </c>
      <c r="N820">
        <f>a.*kc./G.*(H820-I820)</f>
        <v>0.51432821215664304</v>
      </c>
    </row>
    <row r="821" spans="5:14" x14ac:dyDescent="0.25">
      <c r="E821">
        <v>819</v>
      </c>
      <c r="F821">
        <f>dz.*E821</f>
        <v>18.621704012300945</v>
      </c>
      <c r="G821">
        <f>G820+L820*dz.</f>
        <v>3.9280549819956581</v>
      </c>
      <c r="H821">
        <f>H820+M820*dz.</f>
        <v>320.4803838735325</v>
      </c>
      <c r="I821">
        <f>I820+N820*dz.</f>
        <v>319.88018147875891</v>
      </c>
      <c r="J821">
        <f>(10^(AntA.-AntB./(AntC.+(H821-273.15)))*101325/760)</f>
        <v>10765.725464744266</v>
      </c>
      <c r="K821">
        <f>(J821/(R.*H821)-G821)</f>
        <v>0.11241447735227394</v>
      </c>
      <c r="L821">
        <f>a.*kc./G.*K821</f>
        <v>9.6421798548837589E-2</v>
      </c>
      <c r="M821">
        <f>a.*h./(L.*Cpw.)*(H821-I821)+a.*lambda.*kc./(L.*Cpw.)*K821</f>
        <v>0.53999384776389925</v>
      </c>
      <c r="N821">
        <f>a.*kc./G.*(H821-I821)</f>
        <v>0.51481442391119436</v>
      </c>
    </row>
    <row r="822" spans="5:14" x14ac:dyDescent="0.25">
      <c r="E822">
        <v>820</v>
      </c>
      <c r="F822">
        <f>dz.*E822</f>
        <v>18.644441135637088</v>
      </c>
      <c r="G822">
        <f>G821+L821*dz.</f>
        <v>3.9302473363215555</v>
      </c>
      <c r="H822">
        <f>H821+M821*dz.</f>
        <v>320.49266178024988</v>
      </c>
      <c r="I822">
        <f>I821+N821*dz.</f>
        <v>319.89188687781063</v>
      </c>
      <c r="J822">
        <f>(10^(AntA.-AntB./(AntC.+(H822-273.15)))*101325/760)</f>
        <v>10772.409582001423</v>
      </c>
      <c r="K822">
        <f>(J822/(R.*H822)-G822)</f>
        <v>0.11257584540188104</v>
      </c>
      <c r="L822">
        <f>a.*kc./G.*K822</f>
        <v>9.6560209525234114E-2</v>
      </c>
      <c r="M822">
        <f>a.*h./(L.*Cpw.)*(H822-I822)+a.*lambda.*kc./(L.*Cpw.)*K822</f>
        <v>0.54073445873835213</v>
      </c>
      <c r="N822">
        <f>a.*kc./G.*(H822-I822)</f>
        <v>0.51530548360479722</v>
      </c>
    </row>
    <row r="823" spans="5:14" x14ac:dyDescent="0.25">
      <c r="E823">
        <v>821</v>
      </c>
      <c r="F823">
        <f>dz.*E823</f>
        <v>18.667178258973234</v>
      </c>
      <c r="G823">
        <f>G822+L822*dz.</f>
        <v>3.9324428377148948</v>
      </c>
      <c r="H823">
        <f>H822+M822*dz.</f>
        <v>320.50495652633032</v>
      </c>
      <c r="I823">
        <f>I822+N822*dz.</f>
        <v>319.90360344214713</v>
      </c>
      <c r="J823">
        <f>(10^(AntA.-AntB./(AntC.+(H823-273.15)))*101325/760)</f>
        <v>10779.10643884184</v>
      </c>
      <c r="K823">
        <f>(J823/(R.*H823)-G823)</f>
        <v>0.11273845442591668</v>
      </c>
      <c r="L823">
        <f>a.*kc./G.*K823</f>
        <v>9.6699684928465798E-2</v>
      </c>
      <c r="M823">
        <f>a.*h./(L.*Cpw.)*(H823-I823)+a.*lambda.*kc./(L.*Cpw.)*K823</f>
        <v>0.54148091714758939</v>
      </c>
      <c r="N823">
        <f>a.*kc./G.*(H823-I823)</f>
        <v>0.51580141015227177</v>
      </c>
    </row>
    <row r="824" spans="5:14" x14ac:dyDescent="0.25">
      <c r="E824">
        <v>822</v>
      </c>
      <c r="F824">
        <f>dz.*E824</f>
        <v>18.689915382309376</v>
      </c>
      <c r="G824">
        <f>G823+L823*dz.</f>
        <v>3.9346415103776793</v>
      </c>
      <c r="H824">
        <f>H823+M823*dz.</f>
        <v>320.51726824472769</v>
      </c>
      <c r="I824">
        <f>I823+N823*dz.</f>
        <v>319.91533128242673</v>
      </c>
      <c r="J824">
        <f>(10^(AntA.-AntB./(AntC.+(H824-273.15)))*101325/760)</f>
        <v>10785.816124003843</v>
      </c>
      <c r="K824">
        <f>(J824/(R.*H824)-G824)</f>
        <v>0.11290231096720182</v>
      </c>
      <c r="L824">
        <f>a.*kc./G.*K824</f>
        <v>9.6840230370537239E-2</v>
      </c>
      <c r="M824">
        <f>a.*h./(L.*Cpw.)*(H824-I824)+a.*lambda.*kc./(L.*Cpw.)*K824</f>
        <v>0.54223325291078761</v>
      </c>
      <c r="N824">
        <f>a.*kc./G.*(H824-I824)</f>
        <v>0.51630222267726245</v>
      </c>
    </row>
    <row r="825" spans="5:14" x14ac:dyDescent="0.25">
      <c r="E825">
        <v>823</v>
      </c>
      <c r="F825">
        <f>dz.*E825</f>
        <v>18.712652505645519</v>
      </c>
      <c r="G825">
        <f>G824+L824*dz.</f>
        <v>3.9368433786395145</v>
      </c>
      <c r="H825">
        <f>H824+M824*dz.</f>
        <v>320.52959706907609</v>
      </c>
      <c r="I825">
        <f>I824+N824*dz.</f>
        <v>319.92707050974246</v>
      </c>
      <c r="J825">
        <f>(10^(AntA.-AntB./(AntC.+(H825-273.15)))*101325/760)</f>
        <v>10792.538726785548</v>
      </c>
      <c r="K825">
        <f>(J825/(R.*H825)-G825)</f>
        <v>0.11306742163238637</v>
      </c>
      <c r="L825">
        <f>a.*kc./G.*K825</f>
        <v>9.6981851518201337E-2</v>
      </c>
      <c r="M825">
        <f>a.*h./(L.*Cpw.)*(H825-I825)+a.*lambda.*kc./(L.*Cpw.)*K825</f>
        <v>0.54299149624235488</v>
      </c>
      <c r="N825">
        <f>a.*kc./G.*(H825-I825)</f>
        <v>0.51680794051404189</v>
      </c>
    </row>
    <row r="826" spans="5:14" x14ac:dyDescent="0.25">
      <c r="E826">
        <v>824</v>
      </c>
      <c r="F826">
        <f>dz.*E826</f>
        <v>18.735389628981661</v>
      </c>
      <c r="G826">
        <f>G825+L825*dz.</f>
        <v>3.9390484669588512</v>
      </c>
      <c r="H826">
        <f>H825+M825*dz.</f>
        <v>320.54194313369663</v>
      </c>
      <c r="I826">
        <f>I825+N825*dz.</f>
        <v>319.93882123562702</v>
      </c>
      <c r="J826">
        <f>(10^(AntA.-AntB./(AntC.+(H826-273.15)))*101325/760)</f>
        <v>10799.274337050319</v>
      </c>
      <c r="K826">
        <f>(J826/(R.*H826)-G826)</f>
        <v>0.11323379309256465</v>
      </c>
      <c r="L826">
        <f>a.*kc./G.*K826</f>
        <v>9.712455409348722E-2</v>
      </c>
      <c r="M826">
        <f>a.*h./(L.*Cpw.)*(H826-I826)+a.*lambda.*kc./(L.*Cpw.)*K826</f>
        <v>0.54375567765470401</v>
      </c>
      <c r="N826">
        <f>a.*kc./G.*(H826-I826)</f>
        <v>0.5173185832090228</v>
      </c>
    </row>
    <row r="827" spans="5:14" x14ac:dyDescent="0.25">
      <c r="E827">
        <v>825</v>
      </c>
      <c r="F827">
        <f>dz.*E827</f>
        <v>18.758126752317803</v>
      </c>
      <c r="G827">
        <f>G826+L826*dz.</f>
        <v>3.9412567999242429</v>
      </c>
      <c r="H827">
        <f>H826+M826*dz.</f>
        <v>320.55430657360421</v>
      </c>
      <c r="I827">
        <f>I826+N826*dz.</f>
        <v>319.9505835720575</v>
      </c>
      <c r="J827">
        <f>(10^(AntA.-AntB./(AntC.+(H827-273.15)))*101325/760)</f>
        <v>10806.023045232296</v>
      </c>
      <c r="K827">
        <f>(J827/(R.*H827)-G827)</f>
        <v>0.11340143208391007</v>
      </c>
      <c r="L827">
        <f>a.*kc./G.*K827</f>
        <v>9.72683438742446E-2</v>
      </c>
      <c r="M827">
        <f>a.*h./(L.*Cpw.)*(H827-I827)+a.*lambda.*kc./(L.*Cpw.)*K827</f>
        <v>0.54452582796114157</v>
      </c>
      <c r="N827">
        <f>a.*kc./G.*(H827-I827)</f>
        <v>0.5178341705225129</v>
      </c>
    </row>
    <row r="828" spans="5:14" x14ac:dyDescent="0.25">
      <c r="E828">
        <v>826</v>
      </c>
      <c r="F828">
        <f>dz.*E828</f>
        <v>18.780863875653946</v>
      </c>
      <c r="G828">
        <f>G827+L827*dz.</f>
        <v>3.9434684022556139</v>
      </c>
      <c r="H828">
        <f>H827+M827*dz.</f>
        <v>320.56668752451429</v>
      </c>
      <c r="I828">
        <f>I827+N827*dz.</f>
        <v>319.96235763146035</v>
      </c>
      <c r="J828">
        <f>(10^(AntA.-AntB./(AntC.+(H828-273.15)))*101325/760)</f>
        <v>10812.784942341787</v>
      </c>
      <c r="K828">
        <f>(J828/(R.*H828)-G828)</f>
        <v>0.11357034540824795</v>
      </c>
      <c r="L828">
        <f>a.*kc./G.*K828</f>
        <v>9.7413226694635105E-2</v>
      </c>
      <c r="M828">
        <f>a.*h./(L.*Cpw.)*(H828-I828)+a.*lambda.*kc./(L.*Cpw.)*K828</f>
        <v>0.54530197827847793</v>
      </c>
      <c r="N828">
        <f>a.*kc./G.*(H828-I828)</f>
        <v>0.5183547224303241</v>
      </c>
    </row>
    <row r="829" spans="5:14" x14ac:dyDescent="0.25">
      <c r="E829">
        <v>827</v>
      </c>
      <c r="F829">
        <f>dz.*E829</f>
        <v>18.803600998990088</v>
      </c>
      <c r="G829">
        <f>G828+L828*dz.</f>
        <v>3.9456832988055415</v>
      </c>
      <c r="H829">
        <f>H828+M828*dz.</f>
        <v>320.57908612284984</v>
      </c>
      <c r="I829">
        <f>I828+N828*dz.</f>
        <v>319.97414352671615</v>
      </c>
      <c r="J829">
        <f>(10^(AntA.-AntB./(AntC.+(H829-273.15)))*101325/760)</f>
        <v>10819.560119971011</v>
      </c>
      <c r="K829">
        <f>(J829/(R.*H829)-G829)</f>
        <v>0.11374053993373634</v>
      </c>
      <c r="L829">
        <f>a.*kc./G.*K829</f>
        <v>9.755920844571625E-2</v>
      </c>
      <c r="M829">
        <f>a.*h./(L.*Cpw.)*(H829-I829)+a.*lambda.*kc./(L.*Cpw.)*K829</f>
        <v>0.54608416003011484</v>
      </c>
      <c r="N829">
        <f>a.*kc./G.*(H829-I829)</f>
        <v>0.518880259125576</v>
      </c>
    </row>
    <row r="830" spans="5:14" x14ac:dyDescent="0.25">
      <c r="E830">
        <v>828</v>
      </c>
      <c r="F830">
        <f>dz.*E830</f>
        <v>18.826338122326231</v>
      </c>
      <c r="G830">
        <f>G829+L829*dz.</f>
        <v>3.9479015145605483</v>
      </c>
      <c r="H830">
        <f>H829+M829*dz.</f>
        <v>320.59150250574834</v>
      </c>
      <c r="I830">
        <f>I829+N829*dz.</f>
        <v>319.98594137116459</v>
      </c>
      <c r="J830">
        <f>(10^(AntA.-AntB./(AntC.+(H830-273.15)))*101325/760)</f>
        <v>10826.348670299656</v>
      </c>
      <c r="K830">
        <f>(J830/(R.*H830)-G830)</f>
        <v>0.11391202259547262</v>
      </c>
      <c r="L830">
        <f>a.*kc./G.*K830</f>
        <v>9.7706295075961735E-2</v>
      </c>
      <c r="M830">
        <f>a.*h./(L.*Cpw.)*(H830-I830)+a.*lambda.*kc./(L.*Cpw.)*K830</f>
        <v>0.54687240494881673</v>
      </c>
      <c r="N830">
        <f>a.*kc./G.*(H830-I830)</f>
        <v>0.5194108010204519</v>
      </c>
    </row>
    <row r="831" spans="5:14" x14ac:dyDescent="0.25">
      <c r="E831">
        <v>829</v>
      </c>
      <c r="F831">
        <f>dz.*E831</f>
        <v>18.849075245662373</v>
      </c>
      <c r="G831">
        <f>G830+L830*dz.</f>
        <v>3.9501230746424079</v>
      </c>
      <c r="H831">
        <f>H830+M830*dz.</f>
        <v>320.60393681106882</v>
      </c>
      <c r="I831">
        <f>I830+N830*dz.</f>
        <v>319.99775127860948</v>
      </c>
      <c r="J831">
        <f>(10^(AntA.-AntB./(AntC.+(H831-273.15)))*101325/760)</f>
        <v>10833.150686100615</v>
      </c>
      <c r="K831">
        <f>(J831/(R.*H831)-G831)</f>
        <v>0.11408480039614188</v>
      </c>
      <c r="L831">
        <f>a.*kc./G.*K831</f>
        <v>9.785449259181761E-2</v>
      </c>
      <c r="M831">
        <f>a.*h./(L.*Cpw.)*(H831-I831)+a.*lambda.*kc./(L.*Cpw.)*K831</f>
        <v>0.54766674507965596</v>
      </c>
      <c r="N831">
        <f>a.*kc./G.*(H831-I831)</f>
        <v>0.5199463687479533</v>
      </c>
    </row>
    <row r="832" spans="5:14" x14ac:dyDescent="0.25">
      <c r="E832">
        <v>830</v>
      </c>
      <c r="F832">
        <f>dz.*E832</f>
        <v>18.871812368998519</v>
      </c>
      <c r="G832">
        <f>G831+L831*dz.</f>
        <v>3.9523480043094636</v>
      </c>
      <c r="H832">
        <f>H831+M831*dz.</f>
        <v>320.61638917739879</v>
      </c>
      <c r="I832">
        <f>I831+N831*dz.</f>
        <v>320.00957336332391</v>
      </c>
      <c r="J832">
        <f>(10^(AntA.-AntB./(AntC.+(H832-273.15)))*101325/760)</f>
        <v>10839.966260745796</v>
      </c>
      <c r="K832">
        <f>(J832/(R.*H832)-G832)</f>
        <v>0.11425888040669374</v>
      </c>
      <c r="L832">
        <f>a.*kc./G.*K832</f>
        <v>9.8003807058282738E-2</v>
      </c>
      <c r="M832">
        <f>a.*h./(L.*Cpw.)*(H832-I832)+a.*lambda.*kc./(L.*Cpw.)*K832</f>
        <v>0.54846721278304311</v>
      </c>
      <c r="N832">
        <f>a.*kc./G.*(H832-I832)</f>
        <v>0.52048698316341191</v>
      </c>
    </row>
    <row r="833" spans="5:14" x14ac:dyDescent="0.25">
      <c r="E833">
        <v>831</v>
      </c>
      <c r="F833">
        <f>dz.*E833</f>
        <v>18.894549492334662</v>
      </c>
      <c r="G833">
        <f>G832+L832*dz.</f>
        <v>3.9545763289579594</v>
      </c>
      <c r="H833">
        <f>H832+M832*dz.</f>
        <v>320.62885974406169</v>
      </c>
      <c r="I833">
        <f>I832+N832*dz.</f>
        <v>320.02140774005494</v>
      </c>
      <c r="J833">
        <f>(10^(AntA.-AntB./(AntC.+(H833-273.15)))*101325/760)</f>
        <v>10846.795488211876</v>
      </c>
      <c r="K833">
        <f>(J833/(R.*H833)-G833)</f>
        <v>0.11443426976696491</v>
      </c>
      <c r="L833">
        <f>a.*kc./G.*K833</f>
        <v>9.8154244599442858E-2</v>
      </c>
      <c r="M833">
        <f>a.*h./(L.*Cpw.)*(H833-I833)+a.*lambda.*kc./(L.*Cpw.)*K833</f>
        <v>0.54927384073764607</v>
      </c>
      <c r="N833">
        <f>a.*kc./G.*(H833-I833)</f>
        <v>0.52103266534682946</v>
      </c>
    </row>
    <row r="834" spans="5:14" x14ac:dyDescent="0.25">
      <c r="E834">
        <v>832</v>
      </c>
      <c r="F834">
        <f>dz.*E834</f>
        <v>18.917286615670804</v>
      </c>
      <c r="G834">
        <f>G833+L833*dz.</f>
        <v>3.9568080741233826</v>
      </c>
      <c r="H834">
        <f>H833+M833*dz.</f>
        <v>320.64134865112385</v>
      </c>
      <c r="I834">
        <f>I833+N833*dz.</f>
        <v>320.03325452402908</v>
      </c>
      <c r="J834">
        <f>(10^(AntA.-AntB./(AntC.+(H834-273.15)))*101325/760)</f>
        <v>10853.638463086259</v>
      </c>
      <c r="K834">
        <f>(J834/(R.*H834)-G834)</f>
        <v>0.1146109756863769</v>
      </c>
      <c r="L834">
        <f>a.*kc./G.*K834</f>
        <v>9.8305811399069007E-2</v>
      </c>
      <c r="M834">
        <f>a.*h./(L.*Cpw.)*(H834-I834)+a.*lambda.*kc./(L.*Cpw.)*K834</f>
        <v>0.5500866619434801</v>
      </c>
      <c r="N834">
        <f>a.*kc./G.*(H834-I834)</f>
        <v>0.52158343660419482</v>
      </c>
    </row>
    <row r="835" spans="5:14" x14ac:dyDescent="0.25">
      <c r="E835">
        <v>833</v>
      </c>
      <c r="F835">
        <f>dz.*E835</f>
        <v>18.940023739006946</v>
      </c>
      <c r="G835">
        <f>G834+L834*dz.</f>
        <v>3.9590432654818231</v>
      </c>
      <c r="H835">
        <f>H834+M834*dz.</f>
        <v>320.653856039402</v>
      </c>
      <c r="I835">
        <f>I834+N834*dz.</f>
        <v>320.04511383095723</v>
      </c>
      <c r="J835">
        <f>(10^(AntA.-AntB./(AntC.+(H835-273.15)))*101325/760)</f>
        <v>10860.495280573039</v>
      </c>
      <c r="K835">
        <f>(J835/(R.*H835)-G835)</f>
        <v>0.11478900544461146</v>
      </c>
      <c r="L835">
        <f>a.*kc./G.*K835</f>
        <v>9.8458513701196848E-2</v>
      </c>
      <c r="M835">
        <f>a.*h./(L.*Cpw.)*(H835-I835)+a.*lambda.*kc./(L.*Cpw.)*K835</f>
        <v>0.55090570972502007</v>
      </c>
      <c r="N835">
        <f>a.*kc./G.*(H835-I835)</f>
        <v>0.52213931846962836</v>
      </c>
    </row>
    <row r="836" spans="5:14" x14ac:dyDescent="0.25">
      <c r="E836">
        <v>834</v>
      </c>
      <c r="F836">
        <f>dz.*E836</f>
        <v>18.962760862343089</v>
      </c>
      <c r="G836">
        <f>G835+L835*dz.</f>
        <v>3.9612819288513403</v>
      </c>
      <c r="H836">
        <f>H835+M835*dz.</f>
        <v>320.66638205047059</v>
      </c>
      <c r="I836">
        <f>I835+N835*dz.</f>
        <v>320.05698577703993</v>
      </c>
      <c r="J836">
        <f>(10^(AntA.-AntB./(AntC.+(H836-273.15)))*101325/760)</f>
        <v>10867.366036498981</v>
      </c>
      <c r="K836">
        <f>(J836/(R.*H836)-G836)</f>
        <v>0.11496836639228558</v>
      </c>
      <c r="L836">
        <f>a.*kc./G.*K836</f>
        <v>9.8612357810705695E-2</v>
      </c>
      <c r="M836">
        <f>a.*h./(L.*Cpw.)*(H836-I836)+a.*lambda.*kc./(L.*Cpw.)*K836</f>
        <v>0.55173101773427091</v>
      </c>
      <c r="N836">
        <f>a.*kc./G.*(H836-I836)</f>
        <v>0.52270033270723559</v>
      </c>
    </row>
    <row r="837" spans="5:14" x14ac:dyDescent="0.25">
      <c r="E837">
        <v>835</v>
      </c>
      <c r="F837">
        <f>dz.*E837</f>
        <v>18.985497985679231</v>
      </c>
      <c r="G837">
        <f>G836+L836*dz.</f>
        <v>3.9635240901933502</v>
      </c>
      <c r="H837">
        <f>H836+M836*dz.</f>
        <v>320.67892682666917</v>
      </c>
      <c r="I837">
        <f>I836+N836*dz.</f>
        <v>320.06887047897254</v>
      </c>
      <c r="J837">
        <f>(10^(AntA.-AntB./(AntC.+(H837-273.15)))*101325/760)</f>
        <v>10874.250827319673</v>
      </c>
      <c r="K837">
        <f>(J837/(R.*H837)-G837)</f>
        <v>0.11514906595166785</v>
      </c>
      <c r="L837">
        <f>a.*kc./G.*K837</f>
        <v>9.8767350093932893E-2</v>
      </c>
      <c r="M837">
        <f>a.*h./(L.*Cpw.)*(H837-I837)+a.*lambda.*kc./(L.*Cpw.)*K837</f>
        <v>0.55256261995400224</v>
      </c>
      <c r="N837">
        <f>a.*kc./G.*(H837-I837)</f>
        <v>0.52326650131291053</v>
      </c>
    </row>
    <row r="838" spans="5:14" x14ac:dyDescent="0.25">
      <c r="E838">
        <v>836</v>
      </c>
      <c r="F838">
        <f>dz.*E838</f>
        <v>19.008235109015374</v>
      </c>
      <c r="G838">
        <f>G837+L837*dz.</f>
        <v>3.96576977561402</v>
      </c>
      <c r="H838">
        <f>H837+M837*dz.</f>
        <v>320.69149051111003</v>
      </c>
      <c r="I838">
        <f>I837+N837*dz.</f>
        <v>320.08076805395058</v>
      </c>
      <c r="J838">
        <f>(10^(AntA.-AntB./(AntC.+(H838-273.15)))*101325/760)</f>
        <v>10881.149750125664</v>
      </c>
      <c r="K838">
        <f>(J838/(R.*H838)-G838)</f>
        <v>0.1153311116173743</v>
      </c>
      <c r="L838">
        <f>a.*kc./G.*K838</f>
        <v>9.8923496979270706E-2</v>
      </c>
      <c r="M838">
        <f>a.*h./(L.*Cpw.)*(H838-I838)+a.*lambda.*kc./(L.*Cpw.)*K838</f>
        <v>0.55340055070093286</v>
      </c>
      <c r="N838">
        <f>a.*kc./G.*(H838-I838)</f>
        <v>0.52383784651638388</v>
      </c>
    </row>
    <row r="839" spans="5:14" x14ac:dyDescent="0.25">
      <c r="E839">
        <v>837</v>
      </c>
      <c r="F839">
        <f>dz.*E839</f>
        <v>19.030972232351516</v>
      </c>
      <c r="G839">
        <f>G838+L838*dz.</f>
        <v>3.9680190113656804</v>
      </c>
      <c r="H839">
        <f>H838+M838*dz.</f>
        <v>320.70407324768559</v>
      </c>
      <c r="I839">
        <f>I838+N838*dz.</f>
        <v>320.09267861967498</v>
      </c>
      <c r="J839">
        <f>(10^(AntA.-AntB./(AntC.+(H839-273.15)))*101325/760)</f>
        <v>10888.062902648593</v>
      </c>
      <c r="K839">
        <f>(J839/(R.*H839)-G839)</f>
        <v>0.11551451095705056</v>
      </c>
      <c r="L839">
        <f>a.*kc./G.*K839</f>
        <v>9.9080804957751442E-2</v>
      </c>
      <c r="M839">
        <f>a.*h./(L.*Cpw.)*(H839-I839)+a.*lambda.*kc./(L.*Cpw.)*K839</f>
        <v>0.55424484462881674</v>
      </c>
      <c r="N839">
        <f>a.*kc./G.*(H839-I839)</f>
        <v>0.52441439078297802</v>
      </c>
    </row>
    <row r="840" spans="5:14" x14ac:dyDescent="0.25">
      <c r="E840">
        <v>838</v>
      </c>
      <c r="F840">
        <f>dz.*E840</f>
        <v>19.053709355687658</v>
      </c>
      <c r="G840">
        <f>G839+L839*dz.</f>
        <v>3.9702718238482491</v>
      </c>
      <c r="H840">
        <f>H839+M839*dz.</f>
        <v>320.71667518107631</v>
      </c>
      <c r="I840">
        <f>I839+N839*dz.</f>
        <v>320.10460229435745</v>
      </c>
      <c r="J840">
        <f>(10^(AntA.-AntB./(AntC.+(H840-273.15)))*101325/760)</f>
        <v>10894.990383267619</v>
      </c>
      <c r="K840">
        <f>(J840/(R.*H840)-G840)</f>
        <v>0.11569927161214411</v>
      </c>
      <c r="L840">
        <f>a.*kc./G.*K840</f>
        <v>9.9239280583709774E-2</v>
      </c>
      <c r="M840">
        <f>a.*h./(L.*Cpw.)*(H840-I840)+a.*lambda.*kc./(L.*Cpw.)*K840</f>
        <v>0.55509553673197909</v>
      </c>
      <c r="N840">
        <f>a.*kc./G.*(H840-I840)</f>
        <v>0.52499615681589873</v>
      </c>
    </row>
    <row r="841" spans="5:14" x14ac:dyDescent="0.25">
      <c r="E841">
        <v>839</v>
      </c>
      <c r="F841">
        <f>dz.*E841</f>
        <v>19.076446479023801</v>
      </c>
      <c r="G841">
        <f>G840+L840*dz.</f>
        <v>3.9725282396106709</v>
      </c>
      <c r="H841">
        <f>H840+M840*dz.</f>
        <v>320.72929645675833</v>
      </c>
      <c r="I841">
        <f>I840+N840*dz.</f>
        <v>320.11653919672597</v>
      </c>
      <c r="J841">
        <f>(10^(AntA.-AntB./(AntC.+(H841-273.15)))*101325/760)</f>
        <v>10901.93229101579</v>
      </c>
      <c r="K841">
        <f>(J841/(R.*H841)-G841)</f>
        <v>0.11588540129863789</v>
      </c>
      <c r="L841">
        <f>a.*kc./G.*K841</f>
        <v>9.9398930475412081E-2</v>
      </c>
      <c r="M841">
        <f>a.*h./(L.*Cpw.)*(H841-I841)+a.*lambda.*kc./(L.*Cpw.)*K841</f>
        <v>0.55595266234861029</v>
      </c>
      <c r="N841">
        <f>a.*kc./G.*(H841-I841)</f>
        <v>0.52558316755794154</v>
      </c>
    </row>
    <row r="842" spans="5:14" x14ac:dyDescent="0.25">
      <c r="E842">
        <v>840</v>
      </c>
      <c r="F842">
        <f>dz.*E842</f>
        <v>19.099183602359947</v>
      </c>
      <c r="G842">
        <f>G841+L841*dz.</f>
        <v>3.9747882853523708</v>
      </c>
      <c r="H842">
        <f>H841+M841*dz.</f>
        <v>320.7419372210112</v>
      </c>
      <c r="I842">
        <f>I841+N841*dz.</f>
        <v>320.12848944603013</v>
      </c>
      <c r="J842">
        <f>(10^(AntA.-AntB./(AntC.+(H842-273.15)))*101325/760)</f>
        <v>10908.888725586283</v>
      </c>
      <c r="K842">
        <f>(J842/(R.*H842)-G842)</f>
        <v>0.11607290780772272</v>
      </c>
      <c r="L842">
        <f>a.*kc./G.*K842</f>
        <v>9.9559761315633113E-2</v>
      </c>
      <c r="M842">
        <f>a.*h./(L.*Cpw.)*(H842-I842)+a.*lambda.*kc./(L.*Cpw.)*K842</f>
        <v>0.55681625716386551</v>
      </c>
      <c r="N842">
        <f>a.*kc./G.*(H842-I842)</f>
        <v>0.52617544619363699</v>
      </c>
    </row>
    <row r="843" spans="5:14" x14ac:dyDescent="0.25">
      <c r="E843">
        <v>841</v>
      </c>
      <c r="F843">
        <f>dz.*E843</f>
        <v>19.121920725696089</v>
      </c>
      <c r="G843">
        <f>G842+L842*dz.</f>
        <v>3.9770519879247215</v>
      </c>
      <c r="H843">
        <f>H842+M842*dz.</f>
        <v>320.75459762092589</v>
      </c>
      <c r="I843">
        <f>I842+N842*dz.</f>
        <v>320.1404531620467</v>
      </c>
      <c r="J843">
        <f>(10^(AntA.-AntB./(AntC.+(H843-273.15)))*101325/760)</f>
        <v>10915.859787339092</v>
      </c>
      <c r="K843">
        <f>(J843/(R.*H843)-G843)</f>
        <v>0.11626179900661748</v>
      </c>
      <c r="L843">
        <f>a.*kc./G.*K843</f>
        <v>9.9721779852359513E-2</v>
      </c>
      <c r="M843">
        <f>a.*h./(L.*Cpw.)*(H843-I843)+a.*lambda.*kc./(L.*Cpw.)*K843</f>
        <v>0.5576863572135734</v>
      </c>
      <c r="N843">
        <f>a.*kc./G.*(H843-I843)</f>
        <v>0.5267730161513472</v>
      </c>
    </row>
    <row r="844" spans="5:14" x14ac:dyDescent="0.25">
      <c r="E844">
        <v>842</v>
      </c>
      <c r="F844">
        <f>dz.*E844</f>
        <v>19.144657849032232</v>
      </c>
      <c r="G844">
        <f>G843+L843*dz.</f>
        <v>3.9793193743325244</v>
      </c>
      <c r="H844">
        <f>H843+M843*dz.</f>
        <v>320.76727780441274</v>
      </c>
      <c r="I844">
        <f>I843+N843*dz.</f>
        <v>320.1524304650851</v>
      </c>
      <c r="J844">
        <f>(10^(AntA.-AntB./(AntC.+(H844-273.15)))*101325/760)</f>
        <v>10922.845577307564</v>
      </c>
      <c r="K844">
        <f>(J844/(R.*H844)-G844)</f>
        <v>0.11645208283931563</v>
      </c>
      <c r="L844">
        <f>a.*kc./G.*K844</f>
        <v>9.9884992899430175E-2</v>
      </c>
      <c r="M844">
        <f>a.*h./(L.*Cpw.)*(H844-I844)+a.*lambda.*kc./(L.*Cpw.)*K844</f>
        <v>0.5585629988876315</v>
      </c>
      <c r="N844">
        <f>a.*kc./G.*(H844-I844)</f>
        <v>0.52737590110531407</v>
      </c>
    </row>
    <row r="845" spans="5:14" x14ac:dyDescent="0.25">
      <c r="E845">
        <v>843</v>
      </c>
      <c r="F845">
        <f>dz.*E845</f>
        <v>19.167394972368374</v>
      </c>
      <c r="G845">
        <f>G844+L844*dz.</f>
        <v>3.9815904717355086</v>
      </c>
      <c r="H845">
        <f>H844+M844*dz.</f>
        <v>320.77997792020943</v>
      </c>
      <c r="I845">
        <f>I844+N844*dz.</f>
        <v>320.16442147599304</v>
      </c>
      <c r="J845">
        <f>(10^(AntA.-AntB./(AntC.+(H845-273.15)))*101325/760)</f>
        <v>10929.846197204992</v>
      </c>
      <c r="K845">
        <f>(J845/(R.*H845)-G845)</f>
        <v>0.11664376732733706</v>
      </c>
      <c r="L845">
        <f>a.*kc./G.*K845</f>
        <v>0.10004940733718111</v>
      </c>
      <c r="M845">
        <f>a.*h./(L.*Cpw.)*(H845-I845)+a.*lambda.*kc./(L.*Cpw.)*K845</f>
        <v>0.55944621893342972</v>
      </c>
      <c r="N845">
        <f>a.*kc./G.*(H845-I845)</f>
        <v>0.52798412497775504</v>
      </c>
    </row>
    <row r="846" spans="5:14" x14ac:dyDescent="0.25">
      <c r="E846">
        <v>844</v>
      </c>
      <c r="F846">
        <f>dz.*E846</f>
        <v>19.190132095704517</v>
      </c>
      <c r="G846">
        <f>G845+L845*dz.</f>
        <v>3.9838653074498422</v>
      </c>
      <c r="H846">
        <f>H845+M845*dz.</f>
        <v>320.79269811788924</v>
      </c>
      <c r="I846">
        <f>I845+N845*dz.</f>
        <v>320.17642631616218</v>
      </c>
      <c r="J846">
        <f>(10^(AntA.-AntB./(AntC.+(H846-273.15)))*101325/760)</f>
        <v>10936.86174943138</v>
      </c>
      <c r="K846">
        <f>(J846/(R.*H846)-G846)</f>
        <v>0.11683686057052078</v>
      </c>
      <c r="L846">
        <f>a.*kc./G.*K846</f>
        <v>0.10021503011312534</v>
      </c>
      <c r="M846">
        <f>a.*h./(L.*Cpw.)*(H846-I846)+a.*lambda.*kc./(L.*Cpw.)*K846</f>
        <v>0.56033605445945178</v>
      </c>
      <c r="N846">
        <f>a.*kc./G.*(H846-I846)</f>
        <v>0.5285977119410088</v>
      </c>
    </row>
    <row r="847" spans="5:14" x14ac:dyDescent="0.25">
      <c r="E847">
        <v>845</v>
      </c>
      <c r="F847">
        <f>dz.*E847</f>
        <v>19.212869219040659</v>
      </c>
      <c r="G847">
        <f>G846+L846*dz.</f>
        <v>3.9861439089496598</v>
      </c>
      <c r="H847">
        <f>H846+M846*dz.</f>
        <v>320.80543854786919</v>
      </c>
      <c r="I847">
        <f>I846+N846*dz.</f>
        <v>320.18844510753377</v>
      </c>
      <c r="J847">
        <f>(10^(AntA.-AntB./(AntC.+(H847-273.15)))*101325/760)</f>
        <v>10943.892337080197</v>
      </c>
      <c r="K847">
        <f>(J847/(R.*H847)-G847)</f>
        <v>0.11703137074780656</v>
      </c>
      <c r="L847">
        <f>a.*kc./G.*K847</f>
        <v>0.10038186824262334</v>
      </c>
      <c r="M847">
        <f>a.*h./(L.*Cpw.)*(H847-I847)+a.*lambda.*kc./(L.*Cpw.)*K847</f>
        <v>0.56123254293883618</v>
      </c>
      <c r="N847">
        <f>a.*kc./G.*(H847-I847)</f>
        <v>0.52921668641972963</v>
      </c>
    </row>
    <row r="848" spans="5:14" x14ac:dyDescent="0.25">
      <c r="E848">
        <v>846</v>
      </c>
      <c r="F848">
        <f>dz.*E848</f>
        <v>19.235606342376801</v>
      </c>
      <c r="G848">
        <f>G847+L847*dz.</f>
        <v>3.9884263038686045</v>
      </c>
      <c r="H848">
        <f>H847+M847*dz.</f>
        <v>320.81819936141824</v>
      </c>
      <c r="I848">
        <f>I847+N847*dz.</f>
        <v>320.20047797260446</v>
      </c>
      <c r="J848">
        <f>(10^(AntA.-AntB./(AntC.+(H848-273.15)))*101325/760)</f>
        <v>10950.938063945314</v>
      </c>
      <c r="K848">
        <f>(J848/(R.*H848)-G848)</f>
        <v>0.11722730611805776</v>
      </c>
      <c r="L848">
        <f>a.*kc./G.*K848</f>
        <v>0.10054992880958884</v>
      </c>
      <c r="M848">
        <f>a.*h./(L.*Cpw.)*(H848-I848)+a.*lambda.*kc./(L.*Cpw.)*K848</f>
        <v>0.56213572221308994</v>
      </c>
      <c r="N848">
        <f>a.*kc./G.*(H848-I848)</f>
        <v>0.52984107309293438</v>
      </c>
    </row>
    <row r="849" spans="5:14" x14ac:dyDescent="0.25">
      <c r="E849">
        <v>847</v>
      </c>
      <c r="F849">
        <f>dz.*E849</f>
        <v>19.258343465712944</v>
      </c>
      <c r="G849">
        <f>G848+L848*dz.</f>
        <v>3.9907125200013884</v>
      </c>
      <c r="H849">
        <f>H848+M848*dz.</f>
        <v>320.83098071066587</v>
      </c>
      <c r="I849">
        <f>I848+N848*dz.</f>
        <v>320.21252503443191</v>
      </c>
      <c r="J849">
        <f>(10^(AntA.-AntB./(AntC.+(H849-273.15)))*101325/760)</f>
        <v>10957.999034527846</v>
      </c>
      <c r="K849">
        <f>(J849/(R.*H849)-G849)</f>
        <v>0.11742467502083143</v>
      </c>
      <c r="L849">
        <f>a.*kc./G.*K849</f>
        <v>0.10071921896714933</v>
      </c>
      <c r="M849">
        <f>a.*h./(L.*Cpw.)*(H849-I849)+a.*lambda.*kc./(L.*Cpw.)*K849</f>
        <v>0.56304563049564926</v>
      </c>
      <c r="N849">
        <f>a.*kc./G.*(H849-I849)</f>
        <v>0.53047089689653859</v>
      </c>
    </row>
    <row r="850" spans="5:14" x14ac:dyDescent="0.25">
      <c r="E850">
        <v>848</v>
      </c>
      <c r="F850">
        <f>dz.*E850</f>
        <v>19.281080589049086</v>
      </c>
      <c r="G850">
        <f>G849+L849*dz.</f>
        <v>3.9930025853053643</v>
      </c>
      <c r="H850">
        <f>H849+M849*dz.</f>
        <v>320.84378274861035</v>
      </c>
      <c r="I850">
        <f>I849+N849*dz.</f>
        <v>320.22458641664088</v>
      </c>
      <c r="J850">
        <f>(10^(AntA.-AntB./(AntC.+(H850-273.15)))*101325/760)</f>
        <v>10965.075354043274</v>
      </c>
      <c r="K850">
        <f>(J850/(R.*H850)-G850)</f>
        <v>0.11762348587724025</v>
      </c>
      <c r="L850">
        <f>a.*kc./G.*K850</f>
        <v>0.10088974593838544</v>
      </c>
      <c r="M850">
        <f>a.*h./(L.*Cpw.)*(H850-I850)+a.*lambda.*kc./(L.*Cpw.)*K850</f>
        <v>0.56396230637572808</v>
      </c>
      <c r="N850">
        <f>a.*kc./G.*(H850-I850)</f>
        <v>0.53110618302520896</v>
      </c>
    </row>
    <row r="851" spans="5:14" x14ac:dyDescent="0.25">
      <c r="E851">
        <v>849</v>
      </c>
      <c r="F851">
        <f>dz.*E851</f>
        <v>19.303817712385232</v>
      </c>
      <c r="G851">
        <f>G850+L850*dz.</f>
        <v>3.9952965279021173</v>
      </c>
      <c r="H851">
        <f>H850+M850*dz.</f>
        <v>320.85660562912733</v>
      </c>
      <c r="I851">
        <f>I850+N850*dz.</f>
        <v>320.2366622434289</v>
      </c>
      <c r="J851">
        <f>(10^(AntA.-AntB./(AntC.+(H851-273.15)))*101325/760)</f>
        <v>10972.167128428469</v>
      </c>
      <c r="K851">
        <f>(J851/(R.*H851)-G851)</f>
        <v>0.11782374719075417</v>
      </c>
      <c r="L851">
        <f>a.*kc./G.*K851</f>
        <v>0.10106151701701843</v>
      </c>
      <c r="M851">
        <f>a.*h./(L.*Cpw.)*(H851-I851)+a.*lambda.*kc./(L.*Cpw.)*K851</f>
        <v>0.56488578882201113</v>
      </c>
      <c r="N851">
        <f>a.*kc./G.*(H851-I851)</f>
        <v>0.5317469569348986</v>
      </c>
    </row>
    <row r="852" spans="5:14" x14ac:dyDescent="0.25">
      <c r="E852">
        <v>850</v>
      </c>
      <c r="F852">
        <f>dz.*E852</f>
        <v>19.326554835721375</v>
      </c>
      <c r="G852">
        <f>G851+L851*dz.</f>
        <v>3.9975943760790709</v>
      </c>
      <c r="H852">
        <f>H851+M851*dz.</f>
        <v>320.86944950697858</v>
      </c>
      <c r="I852">
        <f>I851+N851*dz.</f>
        <v>320.24875263957233</v>
      </c>
      <c r="J852">
        <f>(10^(AntA.-AntB./(AntC.+(H852-273.15)))*101325/760)</f>
        <v>10979.274464348975</v>
      </c>
      <c r="K852">
        <f>(J852/(R.*H852)-G852)</f>
        <v>0.11802546754807564</v>
      </c>
      <c r="L852">
        <f>a.*kc./G.*K852</f>
        <v>0.10123453956816102</v>
      </c>
      <c r="M852">
        <f>a.*h./(L.*Cpw.)*(H852-I852)+a.*lambda.*kc./(L.*Cpw.)*K852</f>
        <v>0.56581611718661851</v>
      </c>
      <c r="N852">
        <f>a.*kc./G.*(H852-I852)</f>
        <v>0.53239324434513846</v>
      </c>
    </row>
    <row r="853" spans="5:14" x14ac:dyDescent="0.25">
      <c r="E853">
        <v>851</v>
      </c>
      <c r="F853">
        <f>dz.*E853</f>
        <v>19.349291959057517</v>
      </c>
      <c r="G853">
        <f>G852+L852*dz.</f>
        <v>3.9998961582911097</v>
      </c>
      <c r="H853">
        <f>H852+M852*dz.</f>
        <v>320.8823145378206</v>
      </c>
      <c r="I853">
        <f>I852+N852*dz.</f>
        <v>320.26085773043235</v>
      </c>
      <c r="J853">
        <f>(10^(AntA.-AntB./(AntC.+(H853-273.15)))*101325/760)</f>
        <v>10986.397469206178</v>
      </c>
      <c r="K853">
        <f>(J853/(R.*H853)-G853)</f>
        <v>0.11822865561996743</v>
      </c>
      <c r="L853">
        <f>a.*kc./G.*K853</f>
        <v>0.10140882102902732</v>
      </c>
      <c r="M853">
        <f>a.*h./(L.*Cpw.)*(H853-I853)+a.*lambda.*kc./(L.*Cpw.)*K853</f>
        <v>0.56675333120886695</v>
      </c>
      <c r="N853">
        <f>a.*kc./G.*(H853-I853)</f>
        <v>0.53304507124128053</v>
      </c>
    </row>
    <row r="854" spans="5:14" x14ac:dyDescent="0.25">
      <c r="E854">
        <v>852</v>
      </c>
      <c r="F854">
        <f>dz.*E854</f>
        <v>19.372029082393659</v>
      </c>
      <c r="G854">
        <f>G853+L853*dz.</f>
        <v>4.0022019031622191</v>
      </c>
      <c r="H854">
        <f>H853+M853*dz.</f>
        <v>320.89520087821347</v>
      </c>
      <c r="I854">
        <f>I853+N853*dz.</f>
        <v>320.27297764196089</v>
      </c>
      <c r="J854">
        <f>(10^(AntA.-AntB./(AntC.+(H854-273.15)))*101325/760)</f>
        <v>10993.536251144689</v>
      </c>
      <c r="K854">
        <f>(J854/(R.*H854)-G854)</f>
        <v>0.11843332016212305</v>
      </c>
      <c r="L854">
        <f>a.*kc./G.*K854</f>
        <v>0.10158436890967955</v>
      </c>
      <c r="M854">
        <f>a.*h./(L.*Cpw.)*(H854-I854)+a.*lambda.*kc./(L.*Cpw.)*K854</f>
        <v>0.56769747101924173</v>
      </c>
      <c r="N854">
        <f>a.*kc./G.*(H854-I854)</f>
        <v>0.53370246387698428</v>
      </c>
    </row>
    <row r="855" spans="5:14" x14ac:dyDescent="0.25">
      <c r="E855">
        <v>853</v>
      </c>
      <c r="F855">
        <f>dz.*E855</f>
        <v>19.394766205729802</v>
      </c>
      <c r="G855">
        <f>G854+L854*dz.</f>
        <v>4.0045116394871432</v>
      </c>
      <c r="H855">
        <f>H854+M854*dz.</f>
        <v>320.90810868562966</v>
      </c>
      <c r="I855">
        <f>I854+N854*dz.</f>
        <v>320.28511250070687</v>
      </c>
      <c r="J855">
        <f>(10^(AntA.-AntB./(AntC.+(H855-273.15)))*101325/760)</f>
        <v>11000.690919059729</v>
      </c>
      <c r="K855">
        <f>(J855/(R.*H855)-G855)</f>
        <v>0.11863947001603137</v>
      </c>
      <c r="L855">
        <f>a.*kc./G.*K855</f>
        <v>0.10176119079376954</v>
      </c>
      <c r="M855">
        <f>a.*h./(L.*Cpw.)*(H855-I855)+a.*lambda.*kc./(L.*Cpw.)*K855</f>
        <v>0.56864857714331118</v>
      </c>
      <c r="N855">
        <f>a.*kc./G.*(H855-I855)</f>
        <v>0.53436544877645931</v>
      </c>
    </row>
    <row r="856" spans="5:14" x14ac:dyDescent="0.25">
      <c r="E856">
        <v>854</v>
      </c>
      <c r="F856">
        <f>dz.*E856</f>
        <v>19.417503329065944</v>
      </c>
      <c r="G856">
        <f>G855+L855*dz.</f>
        <v>4.0068253962330536</v>
      </c>
      <c r="H856">
        <f>H855+M855*dz.</f>
        <v>320.92103811846306</v>
      </c>
      <c r="I856">
        <f>I855+N855*dz.</f>
        <v>320.29726243382225</v>
      </c>
      <c r="J856">
        <f>(10^(AntA.-AntB./(AntC.+(H856-273.15)))*101325/760)</f>
        <v>11007.861582604719</v>
      </c>
      <c r="K856">
        <f>(J856/(R.*H856)-G856)</f>
        <v>0.11884711410989368</v>
      </c>
      <c r="L856">
        <f>a.*kc./G.*K856</f>
        <v>0.10193929433932539</v>
      </c>
      <c r="M856">
        <f>a.*h./(L.*Cpw.)*(H856-I856)+a.*lambda.*kc./(L.*Cpw.)*K856</f>
        <v>0.56960669050589985</v>
      </c>
      <c r="N856">
        <f>a.*kc./G.*(H856-I856)</f>
        <v>0.53503405273700078</v>
      </c>
    </row>
    <row r="857" spans="5:14" x14ac:dyDescent="0.25">
      <c r="E857">
        <v>855</v>
      </c>
      <c r="F857">
        <f>dz.*E857</f>
        <v>19.440240452402087</v>
      </c>
      <c r="G857">
        <f>G856+L856*dz.</f>
        <v>4.0091432025412459</v>
      </c>
      <c r="H857">
        <f>H856+M856*dz.</f>
        <v>320.93398933603817</v>
      </c>
      <c r="I857">
        <f>I856+N856*dz.</f>
        <v>320.30942756906836</v>
      </c>
      <c r="J857">
        <f>(10^(AntA.-AntB./(AntC.+(H857-273.15)))*101325/760)</f>
        <v>11015.048352198797</v>
      </c>
      <c r="K857">
        <f>(J857/(R.*H857)-G857)</f>
        <v>0.119056261459491</v>
      </c>
      <c r="L857">
        <f>a.*kc./G.*K857</f>
        <v>0.10211868727949537</v>
      </c>
      <c r="M857">
        <f>a.*h./(L.*Cpw.)*(H857-I857)+a.*lambda.*kc./(L.*Cpw.)*K857</f>
        <v>0.57057185243504072</v>
      </c>
      <c r="N857">
        <f>a.*kc./G.*(H857-I857)</f>
        <v>0.53570830283142712</v>
      </c>
    </row>
    <row r="858" spans="5:14" x14ac:dyDescent="0.25">
      <c r="E858">
        <v>856</v>
      </c>
      <c r="F858">
        <f>dz.*E858</f>
        <v>19.462977575738229</v>
      </c>
      <c r="G858">
        <f>G857+L857*dz.</f>
        <v>4.0114650877288449</v>
      </c>
      <c r="H858">
        <f>H857+M857*dz.</f>
        <v>320.94696249861909</v>
      </c>
      <c r="I858">
        <f>I857+N857*dz.</f>
        <v>320.32160803482202</v>
      </c>
      <c r="J858">
        <f>(10^(AntA.-AntB./(AntC.+(H858-273.15)))*101325/760)</f>
        <v>11022.251339034578</v>
      </c>
      <c r="K858">
        <f>(J858/(R.*H858)-G858)</f>
        <v>0.11926692116912108</v>
      </c>
      <c r="L858">
        <f>a.*kc./G.*K858</f>
        <v>0.10229937742335161</v>
      </c>
      <c r="M858">
        <f>a.*h./(L.*Cpw.)*(H858-I858)+a.*lambda.*kc./(L.*Cpw.)*K858</f>
        <v>0.57154410466622574</v>
      </c>
      <c r="N858">
        <f>a.*kc./G.*(H858-I858)</f>
        <v>0.53638822641056694</v>
      </c>
    </row>
    <row r="859" spans="5:14" x14ac:dyDescent="0.25">
      <c r="E859">
        <v>857</v>
      </c>
      <c r="F859">
        <f>dz.*E859</f>
        <v>19.485714699074371</v>
      </c>
      <c r="G859">
        <f>G858+L858*dz.</f>
        <v>4.0137910812905302</v>
      </c>
      <c r="H859">
        <f>H858+M858*dz.</f>
        <v>320.95995776741893</v>
      </c>
      <c r="I859">
        <f>I858+N858*dz.</f>
        <v>320.33380396008198</v>
      </c>
      <c r="J859">
        <f>(10^(AntA.-AntB./(AntC.+(H859-273.15)))*101325/760)</f>
        <v>11029.470655085874</v>
      </c>
      <c r="K859">
        <f>(J859/(R.*H859)-G859)</f>
        <v>0.11947910243250703</v>
      </c>
      <c r="L859">
        <f>a.*kc./G.*K859</f>
        <v>0.10248137265666954</v>
      </c>
      <c r="M859">
        <f>a.*h./(L.*Cpw.)*(H859-I859)+a.*lambda.*kc./(L.*Cpw.)*K859</f>
        <v>0.57252348934654296</v>
      </c>
      <c r="N859">
        <f>a.*kc./G.*(H859-I859)</f>
        <v>0.5370738511057942</v>
      </c>
    </row>
    <row r="860" spans="5:14" x14ac:dyDescent="0.25">
      <c r="E860">
        <v>858</v>
      </c>
      <c r="F860">
        <f>dz.*E860</f>
        <v>19.508451822410514</v>
      </c>
      <c r="G860">
        <f>G859+L859*dz.</f>
        <v>4.0161212129002823</v>
      </c>
      <c r="H860">
        <f>H859+M859*dz.</f>
        <v>320.97297530460907</v>
      </c>
      <c r="I860">
        <f>I859+N859*dz.</f>
        <v>320.34601547447517</v>
      </c>
      <c r="J860">
        <f>(10^(AntA.-AntB./(AntC.+(H860-273.15)))*101325/760)</f>
        <v>11036.70641311556</v>
      </c>
      <c r="K860">
        <f>(J860/(R.*H860)-G860)</f>
        <v>0.11969281453372904</v>
      </c>
      <c r="L860">
        <f>a.*kc./G.*K860</f>
        <v>0.10266468094272688</v>
      </c>
      <c r="M860">
        <f>a.*h./(L.*Cpw.)*(H860-I860)+a.*lambda.*kc./(L.*Cpw.)*K860</f>
        <v>0.57351004903891833</v>
      </c>
      <c r="N860">
        <f>a.*kc./G.*(H860-I860)</f>
        <v>0.53776520483161216</v>
      </c>
    </row>
    <row r="861" spans="5:14" x14ac:dyDescent="0.25">
      <c r="E861">
        <v>859</v>
      </c>
      <c r="F861">
        <f>dz.*E861</f>
        <v>19.53118894574666</v>
      </c>
      <c r="G861">
        <f>G860+L860*dz.</f>
        <v>4.0184555124131425</v>
      </c>
      <c r="H861">
        <f>H860+M860*dz.</f>
        <v>320.98601527332858</v>
      </c>
      <c r="I861">
        <f>I860+N860*dz.</f>
        <v>320.35824270826333</v>
      </c>
      <c r="J861">
        <f>(10^(AntA.-AntB./(AntC.+(H861-273.15)))*101325/760)</f>
        <v>11043.95872668347</v>
      </c>
      <c r="K861">
        <f>(J861/(R.*H861)-G861)</f>
        <v>0.11990806684815691</v>
      </c>
      <c r="L861">
        <f>a.*kc./G.*K861</f>
        <v>0.10284931032310371</v>
      </c>
      <c r="M861">
        <f>a.*h./(L.*Cpw.)*(H861-I861)+a.*lambda.*kc./(L.*Cpw.)*K861</f>
        <v>0.57450382672633316</v>
      </c>
      <c r="N861">
        <f>a.*kc./G.*(H861-I861)</f>
        <v>0.53846231578804249</v>
      </c>
    </row>
    <row r="862" spans="5:14" x14ac:dyDescent="0.25">
      <c r="E862">
        <v>860</v>
      </c>
      <c r="F862">
        <f>dz.*E862</f>
        <v>19.553926069082802</v>
      </c>
      <c r="G862">
        <f>G861+L861*dz.</f>
        <v>4.0207940098669965</v>
      </c>
      <c r="H862">
        <f>H861+M861*dz.</f>
        <v>320.99907783769396</v>
      </c>
      <c r="I862">
        <f>I861+N861*dz.</f>
        <v>320.37048579234926</v>
      </c>
      <c r="J862">
        <f>(10^(AntA.-AntB./(AntC.+(H862-273.15)))*101325/760)</f>
        <v>11051.227710154611</v>
      </c>
      <c r="K862">
        <f>(J862/(R.*H862)-G862)</f>
        <v>0.12012486884346618</v>
      </c>
      <c r="L862">
        <f>a.*kc./G.*K862</f>
        <v>0.1030352689185539</v>
      </c>
      <c r="M862">
        <f>a.*h./(L.*Cpw.)*(H862-I862)+a.*lambda.*kc./(L.*Cpw.)*K862</f>
        <v>0.57550486581647775</v>
      </c>
      <c r="N862">
        <f>a.*kc./G.*(H862-I862)</f>
        <v>0.53916521246364835</v>
      </c>
    </row>
    <row r="863" spans="5:14" x14ac:dyDescent="0.25">
      <c r="E863">
        <v>861</v>
      </c>
      <c r="F863">
        <f>dz.*E863</f>
        <v>19.576663192418945</v>
      </c>
      <c r="G863">
        <f>G862+L862*dz.</f>
        <v>4.0231367354843703</v>
      </c>
      <c r="H863">
        <f>H862+M862*dz.</f>
        <v>321.01216316280858</v>
      </c>
      <c r="I863">
        <f>I862+N862*dz.</f>
        <v>320.38274485828362</v>
      </c>
      <c r="J863">
        <f>(10^(AntA.-AntB./(AntC.+(H863-273.15)))*101325/760)</f>
        <v>11058.513478707029</v>
      </c>
      <c r="K863">
        <f>(J863/(R.*H863)-G863)</f>
        <v>0.12034323008051828</v>
      </c>
      <c r="L863">
        <f>a.*kc./G.*K863</f>
        <v>0.10322256492976012</v>
      </c>
      <c r="M863">
        <f>a.*h./(L.*Cpw.)*(H863-I863)+a.*lambda.*kc./(L.*Cpw.)*K863</f>
        <v>0.57651321014572399</v>
      </c>
      <c r="N863">
        <f>a.*kc./G.*(H863-I863)</f>
        <v>0.53987392363772846</v>
      </c>
    </row>
    <row r="864" spans="5:14" x14ac:dyDescent="0.25">
      <c r="E864">
        <v>862</v>
      </c>
      <c r="F864">
        <f>dz.*E864</f>
        <v>19.599400315755087</v>
      </c>
      <c r="G864">
        <f>G863+L863*dz.</f>
        <v>4.0254837196742512</v>
      </c>
      <c r="H864">
        <f>H863+M863*dz.</f>
        <v>321.02527141477259</v>
      </c>
      <c r="I864">
        <f>I863+N863*dz.</f>
        <v>320.39502003827135</v>
      </c>
      <c r="J864">
        <f>(10^(AntA.-AntB./(AntC.+(H864-273.15)))*101325/760)</f>
        <v>11065.816148340355</v>
      </c>
      <c r="K864">
        <f>(J864/(R.*H864)-G864)</f>
        <v>0.12056316021446012</v>
      </c>
      <c r="L864">
        <f>a.*kc./G.*K864</f>
        <v>0.10341120663827694</v>
      </c>
      <c r="M864">
        <f>a.*h./(L.*Cpw.)*(H864-I864)+a.*lambda.*kc./(L.*Cpw.)*K864</f>
        <v>0.57752890398413292</v>
      </c>
      <c r="N864">
        <f>a.*kc./G.*(H864-I864)</f>
        <v>0.54058847838338853</v>
      </c>
    </row>
    <row r="865" spans="5:14" x14ac:dyDescent="0.25">
      <c r="E865">
        <v>863</v>
      </c>
      <c r="F865">
        <f>dz.*E865</f>
        <v>19.62213743909123</v>
      </c>
      <c r="G865">
        <f>G864+L864*dz.</f>
        <v>4.0278349930339248</v>
      </c>
      <c r="H865">
        <f>H864+M864*dz.</f>
        <v>321.03840276069269</v>
      </c>
      <c r="I865">
        <f>I864+N864*dz.</f>
        <v>320.40731146517845</v>
      </c>
      <c r="J865">
        <f>(10^(AntA.-AntB./(AntC.+(H865-273.15)))*101325/760)</f>
        <v>11073.13583588385</v>
      </c>
      <c r="K865">
        <f>(J865/(R.*H865)-G865)</f>
        <v>0.12078466899561491</v>
      </c>
      <c r="L865">
        <f>a.*kc./G.*K865</f>
        <v>0.10360120240729498</v>
      </c>
      <c r="M865">
        <f>a.*h./(L.*Cpw.)*(H865-I865)+a.*lambda.*kc./(L.*Cpw.)*K865</f>
        <v>0.57855199203951957</v>
      </c>
      <c r="N865">
        <f>a.*kc./G.*(H865-I865)</f>
        <v>0.54130890607007676</v>
      </c>
    </row>
    <row r="866" spans="5:14" x14ac:dyDescent="0.25">
      <c r="E866">
        <v>864</v>
      </c>
      <c r="F866">
        <f>dz.*E866</f>
        <v>19.644874562427372</v>
      </c>
      <c r="G866">
        <f>G865+L865*dz.</f>
        <v>4.030190586350832</v>
      </c>
      <c r="H866">
        <f>H865+M865*dz.</f>
        <v>321.05155736869204</v>
      </c>
      <c r="I866">
        <f>I865+N865*dz.</f>
        <v>320.41961927253874</v>
      </c>
      <c r="J866">
        <f>(10^(AntA.-AntB./(AntC.+(H866-273.15)))*101325/760)</f>
        <v>11080.47265900491</v>
      </c>
      <c r="K866">
        <f>(J866/(R.*H866)-G866)</f>
        <v>0.12100776627053289</v>
      </c>
      <c r="L866">
        <f>a.*kc./G.*K866</f>
        <v>0.10379256068254208</v>
      </c>
      <c r="M866">
        <f>a.*h./(L.*Cpw.)*(H866-I866)+a.*lambda.*kc./(L.*Cpw.)*K866</f>
        <v>0.57958251946220329</v>
      </c>
      <c r="N866">
        <f>a.*kc./G.*(H866-I866)</f>
        <v>0.54203523636626538</v>
      </c>
    </row>
    <row r="867" spans="5:14" x14ac:dyDescent="0.25">
      <c r="E867">
        <v>865</v>
      </c>
      <c r="F867">
        <f>dz.*E867</f>
        <v>19.667611685763514</v>
      </c>
      <c r="G867">
        <f>G866+L866*dz.</f>
        <v>4.0325505306044453</v>
      </c>
      <c r="H867">
        <f>H866+M866*dz.</f>
        <v>321.06473540792052</v>
      </c>
      <c r="I867">
        <f>I866+N866*dz.</f>
        <v>320.43194359456055</v>
      </c>
      <c r="J867">
        <f>(10^(AntA.-AntB./(AntC.+(H867-273.15)))*101325/760)</f>
        <v>11087.826736217734</v>
      </c>
      <c r="K867">
        <f>(J867/(R.*H867)-G867)</f>
        <v>0.12123246198306248</v>
      </c>
      <c r="L867">
        <f>a.*kc./G.*K867</f>
        <v>0.10398528999320215</v>
      </c>
      <c r="M867">
        <f>a.*h./(L.*Cpw.)*(H867-I867)+a.*lambda.*kc./(L.*Cpw.)*K867</f>
        <v>0.58062053184989726</v>
      </c>
      <c r="N867">
        <f>a.*kc./G.*(H867-I867)</f>
        <v>0.54276749924252232</v>
      </c>
    </row>
    <row r="868" spans="5:14" x14ac:dyDescent="0.25">
      <c r="E868">
        <v>866</v>
      </c>
      <c r="F868">
        <f>dz.*E868</f>
        <v>19.690348809099657</v>
      </c>
      <c r="G868">
        <f>G867+L867*dz.</f>
        <v>4.0349148569681654</v>
      </c>
      <c r="H868">
        <f>H867+M867*dz.</f>
        <v>321.07793704856471</v>
      </c>
      <c r="I868">
        <f>I867+N867*dz.</f>
        <v>320.44428456613366</v>
      </c>
      <c r="J868">
        <f>(10^(AntA.-AntB./(AntC.+(H868-273.15)))*101325/760)</f>
        <v>11095.198186891739</v>
      </c>
      <c r="K868">
        <f>(J868/(R.*H868)-G868)</f>
        <v>0.12145876617532281</v>
      </c>
      <c r="L868">
        <f>a.*kc./G.*K868</f>
        <v>0.10417939895274926</v>
      </c>
      <c r="M868">
        <f>a.*h./(L.*Cpw.)*(H868-I868)+a.*lambda.*kc./(L.*Cpw.)*K868</f>
        <v>0.58166607525212699</v>
      </c>
      <c r="N868">
        <f>a.*kc./G.*(H868-I868)</f>
        <v>0.54350572497414407</v>
      </c>
    </row>
    <row r="869" spans="5:14" x14ac:dyDescent="0.25">
      <c r="E869">
        <v>867</v>
      </c>
      <c r="F869">
        <f>dz.*E869</f>
        <v>19.713085932435799</v>
      </c>
      <c r="G869">
        <f>G868+L868*dz.</f>
        <v>4.0372835968112391</v>
      </c>
      <c r="H869">
        <f>H868+M868*dz.</f>
        <v>321.09116246185818</v>
      </c>
      <c r="I869">
        <f>I868+N868*dz.</f>
        <v>320.45664232283627</v>
      </c>
      <c r="J869">
        <f>(10^(AntA.-AntB./(AntC.+(H869-273.15)))*101325/760)</f>
        <v>11102.587131260321</v>
      </c>
      <c r="K869">
        <f>(J869/(R.*H869)-G869)</f>
        <v>0.121686688988766</v>
      </c>
      <c r="L869">
        <f>a.*kc./G.*K869</f>
        <v>0.10437489625985888</v>
      </c>
      <c r="M869">
        <f>a.*h./(L.*Cpw.)*(H869-I869)+a.*lambda.*kc./(L.*Cpw.)*K869</f>
        <v>0.58271919617504964</v>
      </c>
      <c r="N869">
        <f>a.*kc./G.*(H869-I869)</f>
        <v>0.54424994414398387</v>
      </c>
    </row>
    <row r="870" spans="5:14" x14ac:dyDescent="0.25">
      <c r="E870">
        <v>868</v>
      </c>
      <c r="F870">
        <f>dz.*E870</f>
        <v>19.735823055771945</v>
      </c>
      <c r="G870">
        <f>G869+L869*dz.</f>
        <v>4.039656781700697</v>
      </c>
      <c r="H870">
        <f>H869+M869*dz.</f>
        <v>321.10441182009197</v>
      </c>
      <c r="I870">
        <f>I869+N869*dz.</f>
        <v>320.46901700094196</v>
      </c>
      <c r="J870">
        <f>(10^(AntA.-AntB./(AntC.+(H870-273.15)))*101325/760)</f>
        <v>11109.993690429706</v>
      </c>
      <c r="K870">
        <f>(J870/(R.*H870)-G870)</f>
        <v>0.12191624066525364</v>
      </c>
      <c r="L870">
        <f>a.*kc./G.*K870</f>
        <v>0.1045717906993311</v>
      </c>
      <c r="M870">
        <f>a.*h./(L.*Cpw.)*(H870-I870)+a.*lambda.*kc./(L.*Cpw.)*K870</f>
        <v>0.58377994158635804</v>
      </c>
      <c r="N870">
        <f>a.*kc./G.*(H870-I870)</f>
        <v>0.54500018764547387</v>
      </c>
    </row>
    <row r="871" spans="5:14" x14ac:dyDescent="0.25">
      <c r="E871">
        <v>869</v>
      </c>
      <c r="F871">
        <f>dz.*E871</f>
        <v>19.758560179108088</v>
      </c>
      <c r="G871">
        <f>G870+L870*dz.</f>
        <v>4.0420344434033089</v>
      </c>
      <c r="H871">
        <f>H870+M870*dz.</f>
        <v>321.11768529662498</v>
      </c>
      <c r="I871">
        <f>I870+N870*dz.</f>
        <v>320.4814087374267</v>
      </c>
      <c r="J871">
        <f>(10^(AntA.-AntB./(AntC.+(H871-273.15)))*101325/760)</f>
        <v>11117.417986387931</v>
      </c>
      <c r="K871">
        <f>(J871/(R.*H871)-G871)</f>
        <v>0.12214743154816521</v>
      </c>
      <c r="L871">
        <f>a.*kc./G.*K871</f>
        <v>0.10477009114304149</v>
      </c>
      <c r="M871">
        <f>a.*h./(L.*Cpw.)*(H871-I871)+a.*lambda.*kc./(L.*Cpw.)*K871</f>
        <v>0.58484835892030052</v>
      </c>
      <c r="N871">
        <f>a.*kc./G.*(H871-I871)</f>
        <v>0.54575648668550247</v>
      </c>
    </row>
    <row r="872" spans="5:14" x14ac:dyDescent="0.25">
      <c r="E872">
        <v>870</v>
      </c>
      <c r="F872">
        <f>dz.*E872</f>
        <v>19.78129730244423</v>
      </c>
      <c r="G872">
        <f>G871+L871*dz.</f>
        <v>4.0444166138875675</v>
      </c>
      <c r="H872">
        <f>H871+M871*dz.</f>
        <v>321.13098306589467</v>
      </c>
      <c r="I872">
        <f>I871+N871*dz.</f>
        <v>320.49381766997595</v>
      </c>
      <c r="J872">
        <f>(10^(AntA.-AntB./(AntC.+(H872-273.15)))*101325/760)</f>
        <v>11124.860142013722</v>
      </c>
      <c r="K872">
        <f>(J872/(R.*H872)-G872)</f>
        <v>0.12238027208343016</v>
      </c>
      <c r="L872">
        <f>a.*kc./G.*K872</f>
        <v>0.10496980655082626</v>
      </c>
      <c r="M872">
        <f>a.*h./(L.*Cpw.)*(H872-I872)+a.*lambda.*kc./(L.*Cpw.)*K872</f>
        <v>0.58592449608241348</v>
      </c>
      <c r="N872">
        <f>a.*kc./G.*(H872-I872)</f>
        <v>0.54651887278753475</v>
      </c>
    </row>
    <row r="873" spans="5:14" x14ac:dyDescent="0.25">
      <c r="E873">
        <v>871</v>
      </c>
      <c r="F873">
        <f>dz.*E873</f>
        <v>19.804034425780372</v>
      </c>
      <c r="G873">
        <f>G872+L872*dz.</f>
        <v>4.0468033253256843</v>
      </c>
      <c r="H873">
        <f>H872+M872*dz.</f>
        <v>321.14430530342776</v>
      </c>
      <c r="I873">
        <f>I872+N872*dz.</f>
        <v>320.50624393699206</v>
      </c>
      <c r="J873">
        <f>(10^(AntA.-AntB./(AntC.+(H873-273.15)))*101325/760)</f>
        <v>11132.320281085813</v>
      </c>
      <c r="K873">
        <f>(J873/(R.*H873)-G873)</f>
        <v>0.12261477282071009</v>
      </c>
      <c r="L873">
        <f>a.*kc./G.*K873</f>
        <v>0.10517094597149627</v>
      </c>
      <c r="M873">
        <f>a.*h./(L.*Cpw.)*(H873-I873)+a.*lambda.*kc./(L.*Cpw.)*K873</f>
        <v>0.58700840145484068</v>
      </c>
      <c r="N873">
        <f>a.*kc./G.*(H873-I873)</f>
        <v>0.54728737779443959</v>
      </c>
    </row>
    <row r="874" spans="5:14" x14ac:dyDescent="0.25">
      <c r="E874">
        <v>872</v>
      </c>
      <c r="F874">
        <f>dz.*E874</f>
        <v>19.826771549116515</v>
      </c>
      <c r="G874">
        <f>G873+L873*dz.</f>
        <v>4.0491946100956167</v>
      </c>
      <c r="H874">
        <f>H873+M873*dz.</f>
        <v>321.15765218585096</v>
      </c>
      <c r="I874">
        <f>I873+N873*dz.</f>
        <v>320.51868767760129</v>
      </c>
      <c r="J874">
        <f>(10^(AntA.-AntB./(AntC.+(H874-273.15)))*101325/760)</f>
        <v>11139.798528291976</v>
      </c>
      <c r="K874">
        <f>(J874/(R.*H874)-G874)</f>
        <v>0.12285094441444055</v>
      </c>
      <c r="L874">
        <f>a.*kc./G.*K874</f>
        <v>0.10537351854373068</v>
      </c>
      <c r="M874">
        <f>a.*h./(L.*Cpw.)*(H874-I874)+a.*lambda.*kc./(L.*Cpw.)*K874</f>
        <v>0.58810012390111388</v>
      </c>
      <c r="N874">
        <f>a.*kc./G.*(H874-I874)</f>
        <v>0.54806203387165964</v>
      </c>
    </row>
    <row r="875" spans="5:14" x14ac:dyDescent="0.25">
      <c r="E875">
        <v>873</v>
      </c>
      <c r="F875">
        <f>dz.*E875</f>
        <v>19.849508672452657</v>
      </c>
      <c r="G875">
        <f>G874+L874*dz.</f>
        <v>4.0515905007831092</v>
      </c>
      <c r="H875">
        <f>H874+M874*dz.</f>
        <v>321.17102389090212</v>
      </c>
      <c r="I875">
        <f>I874+N874*dz.</f>
        <v>320.5311490316613</v>
      </c>
      <c r="J875">
        <f>(10^(AntA.-AntB./(AntC.+(H875-273.15)))*101325/760)</f>
        <v>11147.29500923858</v>
      </c>
      <c r="K875">
        <f>(J875/(R.*H875)-G875)</f>
        <v>0.12308879762504787</v>
      </c>
      <c r="L875">
        <f>a.*kc./G.*K875</f>
        <v>0.10557753349712057</v>
      </c>
      <c r="M875">
        <f>a.*h./(L.*Cpw.)*(H875-I875)+a.*lambda.*kc./(L.*Cpw.)*K875</f>
        <v>0.58919971277165717</v>
      </c>
      <c r="N875">
        <f>a.*kc./G.*(H875-I875)</f>
        <v>0.54884287351033156</v>
      </c>
    </row>
    <row r="876" spans="5:14" x14ac:dyDescent="0.25">
      <c r="E876">
        <v>874</v>
      </c>
      <c r="F876">
        <f>dz.*E876</f>
        <v>19.8722457957888</v>
      </c>
      <c r="G876">
        <f>G875+L875*dz.</f>
        <v>4.0539910301837594</v>
      </c>
      <c r="H876">
        <f>H875+M875*dz.</f>
        <v>321.18442059744103</v>
      </c>
      <c r="I876">
        <f>I875+N875*dz.</f>
        <v>320.54362813976849</v>
      </c>
      <c r="J876">
        <f>(10^(AntA.-AntB./(AntC.+(H876-273.15)))*101325/760)</f>
        <v>11154.809850459838</v>
      </c>
      <c r="K876">
        <f>(J876/(R.*H876)-G876)</f>
        <v>0.12332834332003184</v>
      </c>
      <c r="L876">
        <f>a.*kc./G.*K876</f>
        <v>0.10578300015309768</v>
      </c>
      <c r="M876">
        <f>a.*h./(L.*Cpw.)*(H876-I876)+a.*lambda.*kc./(L.*Cpw.)*K876</f>
        <v>0.59030721790871765</v>
      </c>
      <c r="N876">
        <f>a.*kc./G.*(H876-I876)</f>
        <v>0.54962992953030854</v>
      </c>
    </row>
    <row r="877" spans="5:14" x14ac:dyDescent="0.25">
      <c r="E877">
        <v>875</v>
      </c>
      <c r="F877">
        <f>dz.*E877</f>
        <v>19.894982919124942</v>
      </c>
      <c r="G877">
        <f>G876+L876*dz.</f>
        <v>4.0563962313051078</v>
      </c>
      <c r="H877">
        <f>H876+M876*dz.</f>
        <v>321.19784248546085</v>
      </c>
      <c r="I877">
        <f>I876+N876*dz.</f>
        <v>320.55612514326543</v>
      </c>
      <c r="J877">
        <f>(10^(AntA.-AntB./(AntC.+(H877-273.15)))*101325/760)</f>
        <v>11162.343179427566</v>
      </c>
      <c r="K877">
        <f>(J877/(R.*H877)-G877)</f>
        <v>0.1235695924751905</v>
      </c>
      <c r="L877">
        <f>a.*kc./G.*K877</f>
        <v>0.10598992792598488</v>
      </c>
      <c r="M877">
        <f>a.*h./(L.*Cpw.)*(H877-I877)+a.*lambda.*kc./(L.*Cpw.)*K877</f>
        <v>0.59142268965193612</v>
      </c>
      <c r="N877">
        <f>a.*kc./G.*(H877-I877)</f>
        <v>0.55042323508352509</v>
      </c>
    </row>
    <row r="878" spans="5:14" x14ac:dyDescent="0.25">
      <c r="E878">
        <v>876</v>
      </c>
      <c r="F878">
        <f>dz.*E878</f>
        <v>19.917720042461085</v>
      </c>
      <c r="G878">
        <f>G877+L877*dz.</f>
        <v>4.0588061373687498</v>
      </c>
      <c r="H878">
        <f>H877+M877*dz.</f>
        <v>321.21128973609927</v>
      </c>
      <c r="I878">
        <f>I877+N877*dz.</f>
        <v>320.56864018424858</v>
      </c>
      <c r="J878">
        <f>(10^(AntA.-AntB./(AntC.+(H878-273.15)))*101325/760)</f>
        <v>11169.8951245608</v>
      </c>
      <c r="K878">
        <f>(J878/(R.*H878)-G878)</f>
        <v>0.12381255617579079</v>
      </c>
      <c r="L878">
        <f>a.*kc./G.*K878</f>
        <v>0.10619832632400036</v>
      </c>
      <c r="M878">
        <f>a.*h./(L.*Cpw.)*(H878-I878)+a.*lambda.*kc./(L.*Cpw.)*K878</f>
        <v>0.59254617884364513</v>
      </c>
      <c r="N878">
        <f>a.*kc./G.*(H878-I878)</f>
        <v>0.55122282365701947</v>
      </c>
    </row>
    <row r="879" spans="5:14" x14ac:dyDescent="0.25">
      <c r="E879">
        <v>877</v>
      </c>
      <c r="F879">
        <f>dz.*E879</f>
        <v>19.940457165797227</v>
      </c>
      <c r="G879">
        <f>G878+L878*dz.</f>
        <v>4.0612207818124704</v>
      </c>
      <c r="H879">
        <f>H878+M878*dz.</f>
        <v>321.22476253165001</v>
      </c>
      <c r="I879">
        <f>I878+N878*dz.</f>
        <v>320.58117340557578</v>
      </c>
      <c r="J879">
        <f>(10^(AntA.-AntB./(AntC.+(H879-273.15)))*101325/760)</f>
        <v>11177.465815235548</v>
      </c>
      <c r="K879">
        <f>(J879/(R.*H879)-G879)</f>
        <v>0.12405724561774356</v>
      </c>
      <c r="L879">
        <f>a.*kc./G.*K879</f>
        <v>0.1064082049502654</v>
      </c>
      <c r="M879">
        <f>a.*h./(L.*Cpw.)*(H879-I879)+a.*lambda.*kc./(L.*Cpw.)*K879</f>
        <v>0.59367773683423186</v>
      </c>
      <c r="N879">
        <f>a.*kc./G.*(H879-I879)</f>
        <v>0.55202872907629796</v>
      </c>
    </row>
    <row r="880" spans="5:14" x14ac:dyDescent="0.25">
      <c r="E880">
        <v>878</v>
      </c>
      <c r="F880">
        <f>dz.*E880</f>
        <v>19.963194289133373</v>
      </c>
      <c r="G880">
        <f>G879+L879*dz.</f>
        <v>4.0636401982924024</v>
      </c>
      <c r="H880">
        <f>H879+M879*dz.</f>
        <v>321.23826105557436</v>
      </c>
      <c r="I880">
        <f>I879+N879*dz.</f>
        <v>320.59372495087388</v>
      </c>
      <c r="J880">
        <f>(10^(AntA.-AntB./(AntC.+(H880-273.15)))*101325/760)</f>
        <v>11185.055381794786</v>
      </c>
      <c r="K880">
        <f>(J880/(R.*H880)-G880)</f>
        <v>0.1243036721088524</v>
      </c>
      <c r="L880">
        <f>a.*kc./G.*K880</f>
        <v>0.10661957350387558</v>
      </c>
      <c r="M880">
        <f>a.*h./(L.*Cpw.)*(H880-I880)+a.*lambda.*kc./(L.*Cpw.)*K880</f>
        <v>0.59481741548781597</v>
      </c>
      <c r="N880">
        <f>a.*kc./G.*(H880-I880)</f>
        <v>0.55284098550874827</v>
      </c>
    </row>
    <row r="881" spans="5:14" x14ac:dyDescent="0.25">
      <c r="E881">
        <v>879</v>
      </c>
      <c r="F881">
        <f>dz.*E881</f>
        <v>19.985931412469515</v>
      </c>
      <c r="G881">
        <f>G880+L880*dz.</f>
        <v>4.0660644206852066</v>
      </c>
      <c r="H881">
        <f>H880+M880*dz.</f>
        <v>321.25178549251279</v>
      </c>
      <c r="I881">
        <f>I880+N880*dz.</f>
        <v>320.60629496454669</v>
      </c>
      <c r="J881">
        <f>(10^(AntA.-AntB./(AntC.+(H881-273.15)))*101325/760)</f>
        <v>11192.663955558464</v>
      </c>
      <c r="K881">
        <f>(J881/(R.*H881)-G881)</f>
        <v>0.12455184707003752</v>
      </c>
      <c r="L881">
        <f>a.*kc./G.*K881</f>
        <v>0.1068324417809505</v>
      </c>
      <c r="M881">
        <f>a.*h./(L.*Cpw.)*(H881-I881)+a.*lambda.*kc./(L.*Cpw.)*K881</f>
        <v>0.59596526718778264</v>
      </c>
      <c r="N881">
        <f>a.*kc./G.*(H881-I881)</f>
        <v>0.55365962746675923</v>
      </c>
    </row>
    <row r="882" spans="5:14" x14ac:dyDescent="0.25">
      <c r="E882">
        <v>880</v>
      </c>
      <c r="F882">
        <f>dz.*E882</f>
        <v>20.008668535805658</v>
      </c>
      <c r="G882">
        <f>G881+L881*dz.</f>
        <v>4.0684934830902817</v>
      </c>
      <c r="H882">
        <f>H881+M881*dz.</f>
        <v>321.26533602829693</v>
      </c>
      <c r="I882">
        <f>I881+N881*dz.</f>
        <v>320.61888359178266</v>
      </c>
      <c r="J882">
        <f>(10^(AntA.-AntB./(AntC.+(H882-273.15)))*101325/760)</f>
        <v>11200.291668833655</v>
      </c>
      <c r="K882">
        <f>(J882/(R.*H882)-G882)</f>
        <v>0.12480178203657388</v>
      </c>
      <c r="L882">
        <f>a.*kc./G.*K882</f>
        <v>0.10704681967569585</v>
      </c>
      <c r="M882">
        <f>a.*h./(L.*Cpw.)*(H882-I882)+a.*lambda.*kc./(L.*Cpw.)*K882</f>
        <v>0.5971213448424495</v>
      </c>
      <c r="N882">
        <f>a.*kc./G.*(H882-I882)</f>
        <v>0.55448468981137822</v>
      </c>
    </row>
    <row r="883" spans="5:14" x14ac:dyDescent="0.25">
      <c r="E883">
        <v>881</v>
      </c>
      <c r="F883">
        <f>dz.*E883</f>
        <v>20.0314056591418</v>
      </c>
      <c r="G883">
        <f>G882+L882*dz.</f>
        <v>4.0709274198319898</v>
      </c>
      <c r="H883">
        <f>H882+M882*dz.</f>
        <v>321.27891284996127</v>
      </c>
      <c r="I883">
        <f>I882+N882*dz.</f>
        <v>320.63149097856291</v>
      </c>
      <c r="J883">
        <f>(10^(AntA.-AntB./(AntC.+(H883-273.15)))*101325/760)</f>
        <v>11207.938654924843</v>
      </c>
      <c r="K883">
        <f>(J883/(R.*H883)-G883)</f>
        <v>0.12505348865937282</v>
      </c>
      <c r="L883">
        <f>a.*kc./G.*K883</f>
        <v>0.10726271718150263</v>
      </c>
      <c r="M883">
        <f>a.*h./(L.*Cpw.)*(H883-I883)+a.*lambda.*kc./(L.*Cpw.)*K883</f>
        <v>0.59828570189085373</v>
      </c>
      <c r="N883">
        <f>a.*kc./G.*(H883-I883)</f>
        <v>0.55531620775552881</v>
      </c>
    </row>
    <row r="884" spans="5:14" x14ac:dyDescent="0.25">
      <c r="E884">
        <v>882</v>
      </c>
      <c r="F884">
        <f>dz.*E884</f>
        <v>20.054142782477943</v>
      </c>
      <c r="G884">
        <f>G883+L883*dz.</f>
        <v>4.0733662654619156</v>
      </c>
      <c r="H884">
        <f>H883+M883*dz.</f>
        <v>321.29251614575543</v>
      </c>
      <c r="I884">
        <f>I883+N883*dz.</f>
        <v>320.64411727166919</v>
      </c>
      <c r="J884">
        <f>(10^(AntA.-AntB./(AntC.+(H884-273.15)))*101325/760)</f>
        <v>11215.605048144344</v>
      </c>
      <c r="K884">
        <f>(J884/(R.*H884)-G884)</f>
        <v>0.12530697870626462</v>
      </c>
      <c r="L884">
        <f>a.*kc./G.*K884</f>
        <v>0.10748014439204724</v>
      </c>
      <c r="M884">
        <f>a.*h./(L.*Cpw.)*(H884-I884)+a.*lambda.*kc./(L.*Cpw.)*K884</f>
        <v>0.59945839230859732</v>
      </c>
      <c r="N884">
        <f>a.*kc./G.*(H884-I884)</f>
        <v>0.55615421686761846</v>
      </c>
    </row>
    <row r="885" spans="5:14" x14ac:dyDescent="0.25">
      <c r="E885">
        <v>883</v>
      </c>
      <c r="F885">
        <f>dz.*E885</f>
        <v>20.076879905814085</v>
      </c>
      <c r="G885">
        <f>G884+L884*dz.</f>
        <v>4.0758100547611438</v>
      </c>
      <c r="H885">
        <f>H884+M884*dz.</f>
        <v>321.30614610515624</v>
      </c>
      <c r="I885">
        <f>I884+N884*dz.</f>
        <v>320.65676261869203</v>
      </c>
      <c r="J885">
        <f>(10^(AntA.-AntB./(AntC.+(H885-273.15)))*101325/760)</f>
        <v>11223.290983822799</v>
      </c>
      <c r="K885">
        <f>(J885/(R.*H885)-G885)</f>
        <v>0.12556226406328541</v>
      </c>
      <c r="L885">
        <f>a.*kc./G.*K885</f>
        <v>0.1076991115023954</v>
      </c>
      <c r="M885">
        <f>a.*h./(L.*Cpw.)*(H885-I885)+a.*lambda.*kc./(L.*Cpw.)*K885</f>
        <v>0.6006394706136905</v>
      </c>
      <c r="N885">
        <f>a.*kc./G.*(H885-I885)</f>
        <v>0.5569987530750008</v>
      </c>
    </row>
    <row r="886" spans="5:14" x14ac:dyDescent="0.25">
      <c r="E886">
        <v>884</v>
      </c>
      <c r="F886">
        <f>dz.*E886</f>
        <v>20.099617029150227</v>
      </c>
      <c r="G886">
        <f>G885+L885*dz.</f>
        <v>4.0782588227425665</v>
      </c>
      <c r="H886">
        <f>H885+M885*dz.</f>
        <v>321.31980291888016</v>
      </c>
      <c r="I886">
        <f>I885+N885*dz.</f>
        <v>320.66942716803879</v>
      </c>
      <c r="J886">
        <f>(10^(AntA.-AntB./(AntC.+(H886-273.15)))*101325/760)</f>
        <v>11230.996598319934</v>
      </c>
      <c r="K886">
        <f>(J886/(R.*H886)-G886)</f>
        <v>0.1258193567360415</v>
      </c>
      <c r="L886">
        <f>a.*kc./G.*K886</f>
        <v>0.10791962881017229</v>
      </c>
      <c r="M886">
        <f>a.*h./(L.*Cpw.)*(H886-I886)+a.*lambda.*kc./(L.*Cpw.)*K886</f>
        <v>0.60182899187274386</v>
      </c>
      <c r="N886">
        <f>a.*kc./G.*(H886-I886)</f>
        <v>0.55784985266763198</v>
      </c>
    </row>
    <row r="887" spans="5:14" x14ac:dyDescent="0.25">
      <c r="E887">
        <v>885</v>
      </c>
      <c r="F887">
        <f>dz.*E887</f>
        <v>20.12235415248637</v>
      </c>
      <c r="G887">
        <f>G886+L886*dz.</f>
        <v>4.0807126046532138</v>
      </c>
      <c r="H887">
        <f>H886+M886*dz.</f>
        <v>321.33348677889563</v>
      </c>
      <c r="I887">
        <f>I886+N886*dz.</f>
        <v>320.68211106894194</v>
      </c>
      <c r="J887">
        <f>(10^(AntA.-AntB./(AntC.+(H887-273.15)))*101325/760)</f>
        <v>11238.722029035162</v>
      </c>
      <c r="K887">
        <f>(J887/(R.*H887)-G887)</f>
        <v>0.12607826885096962</v>
      </c>
      <c r="L887">
        <f>a.*kc./G.*K887</f>
        <v>0.10814170671664355</v>
      </c>
      <c r="M887">
        <f>a.*h./(L.*Cpw.)*(H887-I887)+a.*lambda.*kc./(L.*Cpw.)*K887</f>
        <v>0.60302701170672135</v>
      </c>
      <c r="N887">
        <f>a.*kc./G.*(H887-I887)</f>
        <v>0.55870755230167868</v>
      </c>
    </row>
    <row r="888" spans="5:14" x14ac:dyDescent="0.25">
      <c r="E888">
        <v>886</v>
      </c>
      <c r="F888">
        <f>dz.*E888</f>
        <v>20.145091275822512</v>
      </c>
      <c r="G888">
        <f>G887+L887*dz.</f>
        <v>4.0831714359766114</v>
      </c>
      <c r="H888">
        <f>H887+M887*dz.</f>
        <v>321.34719787843585</v>
      </c>
      <c r="I888">
        <f>I887+N887*dz.</f>
        <v>320.69481447146745</v>
      </c>
      <c r="J888">
        <f>(10^(AntA.-AntB./(AntC.+(H888-273.15)))*101325/760)</f>
        <v>11246.467414418728</v>
      </c>
      <c r="K888">
        <f>(J888/(R.*H888)-G888)</f>
        <v>0.12633901265678382</v>
      </c>
      <c r="L888">
        <f>a.*kc./G.*K888</f>
        <v>0.10836535572795629</v>
      </c>
      <c r="M888">
        <f>a.*h./(L.*Cpw.)*(H888-I888)+a.*lambda.*kc./(L.*Cpw.)*K888</f>
        <v>0.60423358629746948</v>
      </c>
      <c r="N888">
        <f>a.*kc./G.*(H888-I888)</f>
        <v>0.55957188900312649</v>
      </c>
    </row>
    <row r="889" spans="5:14" x14ac:dyDescent="0.25">
      <c r="E889">
        <v>887</v>
      </c>
      <c r="F889">
        <f>dz.*E889</f>
        <v>20.167828399158658</v>
      </c>
      <c r="G889">
        <f>G888+L888*dz.</f>
        <v>4.0856353524351627</v>
      </c>
      <c r="H889">
        <f>H888+M888*dz.</f>
        <v>321.36093641201131</v>
      </c>
      <c r="I889">
        <f>I888+N888*dz.</f>
        <v>320.70753752652314</v>
      </c>
      <c r="J889">
        <f>(10^(AntA.-AntB./(AntC.+(H889-273.15)))*101325/760)</f>
        <v>11254.232893982577</v>
      </c>
      <c r="K889">
        <f>(J889/(R.*H889)-G889)</f>
        <v>0.12660160052577574</v>
      </c>
      <c r="L889">
        <f>a.*kc./G.*K889</f>
        <v>0.10859058645625443</v>
      </c>
      <c r="M889">
        <f>a.*h./(L.*Cpw.)*(H889-I889)+a.*lambda.*kc./(L.*Cpw.)*K889</f>
        <v>0.60544877239365769</v>
      </c>
      <c r="N889">
        <f>a.*kc./G.*(H889-I889)</f>
        <v>0.56044290017153353</v>
      </c>
    </row>
    <row r="890" spans="5:14" x14ac:dyDescent="0.25">
      <c r="E890">
        <v>888</v>
      </c>
      <c r="F890">
        <f>dz.*E890</f>
        <v>20.190565522494801</v>
      </c>
      <c r="G890">
        <f>G889+L889*dz.</f>
        <v>4.0881043899925631</v>
      </c>
      <c r="H890">
        <f>H889+M889*dz.</f>
        <v>321.37470257542293</v>
      </c>
      <c r="I890">
        <f>I889+N889*dz.</f>
        <v>320.72028038586723</v>
      </c>
      <c r="J890">
        <f>(10^(AntA.-AntB./(AntC.+(H890-273.15)))*101325/760)</f>
        <v>11262.018608311622</v>
      </c>
      <c r="K890">
        <f>(J890/(R.*H890)-G890)</f>
        <v>0.12686604495524367</v>
      </c>
      <c r="L890">
        <f>a.*kc./G.*K890</f>
        <v>0.10881740962090443</v>
      </c>
      <c r="M890">
        <f>a.*h./(L.*Cpw.)*(H890-I890)+a.*lambda.*kc./(L.*Cpw.)*K890</f>
        <v>0.60667262731726013</v>
      </c>
      <c r="N890">
        <f>a.*kc./G.*(H890-I890)</f>
        <v>0.56132062358383406</v>
      </c>
    </row>
    <row r="891" spans="5:14" x14ac:dyDescent="0.25">
      <c r="E891">
        <v>889</v>
      </c>
      <c r="F891">
        <f>dz.*E891</f>
        <v>20.213302645830943</v>
      </c>
      <c r="G891">
        <f>G890+L890*dz.</f>
        <v>4.0905785848562335</v>
      </c>
      <c r="H891">
        <f>H890+M890*dz.</f>
        <v>321.38849656577491</v>
      </c>
      <c r="I891">
        <f>I890+N890*dz.</f>
        <v>320.73304320211679</v>
      </c>
      <c r="J891">
        <f>(10^(AntA.-AntB./(AntC.+(H891-273.15)))*101325/760)</f>
        <v>11269.824699075096</v>
      </c>
      <c r="K891">
        <f>(J891/(R.*H891)-G891)</f>
        <v>0.12713235856890837</v>
      </c>
      <c r="L891">
        <f>a.*kc./G.*K891</f>
        <v>0.10904583604970969</v>
      </c>
      <c r="M891">
        <f>a.*h./(L.*Cpw.)*(H891-I891)+a.*lambda.*kc./(L.*Cpw.)*K891</f>
        <v>0.60790520896999101</v>
      </c>
      <c r="N891">
        <f>a.*kc./G.*(H891-I891)</f>
        <v>0.56220509739818958</v>
      </c>
    </row>
    <row r="892" spans="5:14" x14ac:dyDescent="0.25">
      <c r="E892">
        <v>890</v>
      </c>
      <c r="F892">
        <f>dz.*E892</f>
        <v>20.236039769167085</v>
      </c>
      <c r="G892">
        <f>G891+L891*dz.</f>
        <v>4.0930579734797883</v>
      </c>
      <c r="H892">
        <f>H891+M891*dz.</f>
        <v>321.40231858148798</v>
      </c>
      <c r="I892">
        <f>I891+N891*dz.</f>
        <v>320.74582612875656</v>
      </c>
      <c r="J892">
        <f>(10^(AntA.-AntB./(AntC.+(H892-273.15)))*101325/760)</f>
        <v>11277.651309037989</v>
      </c>
      <c r="K892">
        <f>(J892/(R.*H892)-G892)</f>
        <v>0.12740055411834117</v>
      </c>
      <c r="L892">
        <f>a.*kc./G.*K892</f>
        <v>0.1092758766801355</v>
      </c>
      <c r="M892">
        <f>a.*h./(L.*Cpw.)*(H892-I892)+a.*lambda.*kc./(L.*Cpw.)*K892</f>
        <v>0.60914657583977549</v>
      </c>
      <c r="N892">
        <f>a.*kc./G.*(H892-I892)</f>
        <v>0.56309636015774411</v>
      </c>
    </row>
    <row r="893" spans="5:14" x14ac:dyDescent="0.25">
      <c r="E893">
        <v>891</v>
      </c>
      <c r="F893">
        <f>dz.*E893</f>
        <v>20.258776892503228</v>
      </c>
      <c r="G893">
        <f>G892+L892*dz.</f>
        <v>4.09554259256553</v>
      </c>
      <c r="H893">
        <f>H892+M892*dz.</f>
        <v>321.41616882231261</v>
      </c>
      <c r="I893">
        <f>I892+N892*dz.</f>
        <v>320.75862932014758</v>
      </c>
      <c r="J893">
        <f>(10^(AntA.-AntB./(AntC.+(H893-273.15)))*101325/760)</f>
        <v>11285.498582072563</v>
      </c>
      <c r="K893">
        <f>(J893/(R.*H893)-G893)</f>
        <v>0.12767064448437981</v>
      </c>
      <c r="L893">
        <f>a.*kc./G.*K893</f>
        <v>0.1095075425605234</v>
      </c>
      <c r="M893">
        <f>a.*h./(L.*Cpw.)*(H893-I893)+a.*lambda.*kc./(L.*Cpw.)*K893</f>
        <v>0.61039678700720579</v>
      </c>
      <c r="N893">
        <f>a.*kc./G.*(H893-I893)</f>
        <v>0.56399445079462107</v>
      </c>
    </row>
    <row r="894" spans="5:14" x14ac:dyDescent="0.25">
      <c r="E894">
        <v>892</v>
      </c>
      <c r="F894">
        <f>dz.*E894</f>
        <v>20.28151401583937</v>
      </c>
      <c r="G894">
        <f>G893+L893*dz.</f>
        <v>4.0980324790669664</v>
      </c>
      <c r="H894">
        <f>H893+M893*dz.</f>
        <v>321.43004748934277</v>
      </c>
      <c r="I894">
        <f>I893+N893*dz.</f>
        <v>320.7714529315362</v>
      </c>
      <c r="J894">
        <f>(10^(AntA.-AntB./(AntC.+(H894-273.15)))*101325/760)</f>
        <v>11293.366663170282</v>
      </c>
      <c r="K894">
        <f>(J894/(R.*H894)-G894)</f>
        <v>0.12794264267866584</v>
      </c>
      <c r="L894">
        <f>a.*kc./G.*K894</f>
        <v>0.1097408448514099</v>
      </c>
      <c r="M894">
        <f>a.*h./(L.*Cpw.)*(H894-I894)+a.*lambda.*kc./(L.*Cpw.)*K894</f>
        <v>0.61165590215249444</v>
      </c>
      <c r="N894">
        <f>a.*kc./G.*(H894-I894)</f>
        <v>0.56489940863387333</v>
      </c>
    </row>
    <row r="895" spans="5:14" x14ac:dyDescent="0.25">
      <c r="E895">
        <v>893</v>
      </c>
      <c r="F895">
        <f>dz.*E895</f>
        <v>20.304251139175513</v>
      </c>
      <c r="G895">
        <f>G894+L894*dz.</f>
        <v>4.1005276701913651</v>
      </c>
      <c r="H895">
        <f>H894+M894*dz.</f>
        <v>321.44395478502929</v>
      </c>
      <c r="I895">
        <f>I894+N894*dz.</f>
        <v>320.78429711906284</v>
      </c>
      <c r="J895">
        <f>(10^(AntA.-AntB./(AntC.+(H895-273.15)))*101325/760)</f>
        <v>11301.255698453571</v>
      </c>
      <c r="K895">
        <f>(J895/(R.*H895)-G895)</f>
        <v>0.12821656184508878</v>
      </c>
      <c r="L895">
        <f>a.*kc./G.*K895</f>
        <v>0.10997579482676523</v>
      </c>
      <c r="M895">
        <f>a.*h./(L.*Cpw.)*(H895-I895)+a.*lambda.*kc./(L.*Cpw.)*K895</f>
        <v>0.61292398156206152</v>
      </c>
      <c r="N895">
        <f>a.*kc./G.*(H895-I895)</f>
        <v>0.56581127339757842</v>
      </c>
    </row>
    <row r="896" spans="5:14" x14ac:dyDescent="0.25">
      <c r="E896">
        <v>894</v>
      </c>
      <c r="F896">
        <f>dz.*E896</f>
        <v>20.326988262511655</v>
      </c>
      <c r="G896">
        <f>G895+L895*dz.</f>
        <v>4.1030282034023315</v>
      </c>
      <c r="H896">
        <f>H895+M895*dz.</f>
        <v>321.45789091319375</v>
      </c>
      <c r="I896">
        <f>I895+N895*dz.</f>
        <v>320.79716203977108</v>
      </c>
      <c r="J896">
        <f>(10^(AntA.-AntB./(AntC.+(H896-273.15)))*101325/760)</f>
        <v>11309.16583518794</v>
      </c>
      <c r="K896">
        <f>(J896/(R.*H896)-G896)</f>
        <v>0.12849241526132982</v>
      </c>
      <c r="L896">
        <f>a.*kc./G.*K896</f>
        <v>0.11021240387531732</v>
      </c>
      <c r="M896">
        <f>a.*h./(L.*Cpw.)*(H896-I896)+a.*lambda.*kc./(L.*Cpw.)*K896</f>
        <v>0.61420108613552193</v>
      </c>
      <c r="N896">
        <f>a.*kc./G.*(H896-I896)</f>
        <v>0.56673008520883694</v>
      </c>
    </row>
    <row r="897" spans="5:14" x14ac:dyDescent="0.25">
      <c r="E897">
        <v>895</v>
      </c>
      <c r="F897">
        <f>dz.*E897</f>
        <v>20.349725385847798</v>
      </c>
      <c r="G897">
        <f>G896+L896*dz.</f>
        <v>4.1055341164224171</v>
      </c>
      <c r="H897">
        <f>H896+M896*dz.</f>
        <v>321.47185607904242</v>
      </c>
      <c r="I897">
        <f>I896+N896*dz.</f>
        <v>320.81004785161679</v>
      </c>
      <c r="J897">
        <f>(10^(AntA.-AntB./(AntC.+(H897-273.15)))*101325/760)</f>
        <v>11317.097221794067</v>
      </c>
      <c r="K897">
        <f>(J897/(R.*H897)-G897)</f>
        <v>0.12877021634035568</v>
      </c>
      <c r="L897">
        <f>a.*kc./G.*K897</f>
        <v>0.11045068350183324</v>
      </c>
      <c r="M897">
        <f>a.*h./(L.*Cpw.)*(H897-I897)+a.*lambda.*kc./(L.*Cpw.)*K897</f>
        <v>0.61548727739249198</v>
      </c>
      <c r="N897">
        <f>a.*kc./G.*(H897-I897)</f>
        <v>0.56765588459596517</v>
      </c>
    </row>
    <row r="898" spans="5:14" x14ac:dyDescent="0.25">
      <c r="E898">
        <v>896</v>
      </c>
      <c r="F898">
        <f>dz.*E898</f>
        <v>20.37246250918394</v>
      </c>
      <c r="G898">
        <f>G897+L897*dz.</f>
        <v>4.1080454472357593</v>
      </c>
      <c r="H898">
        <f>H897+M897*dz.</f>
        <v>321.48585048918034</v>
      </c>
      <c r="I898">
        <f>I897+N897*dz.</f>
        <v>320.82295471347732</v>
      </c>
      <c r="J898">
        <f>(10^(AntA.-AntB./(AntC.+(H898-273.15)))*101325/760)</f>
        <v>11325.050007860256</v>
      </c>
      <c r="K898">
        <f>(J898/(R.*H898)-G898)</f>
        <v>0.12904997863201473</v>
      </c>
      <c r="L898">
        <f>a.*kc./G.*K898</f>
        <v>0.11069064532848816</v>
      </c>
      <c r="M898">
        <f>a.*h./(L.*Cpw.)*(H898-I898)+a.*lambda.*kc./(L.*Cpw.)*K898</f>
        <v>0.61678261747981655</v>
      </c>
      <c r="N898">
        <f>a.*kc./G.*(H898-I898)</f>
        <v>0.56858871249663956</v>
      </c>
    </row>
    <row r="899" spans="5:14" x14ac:dyDescent="0.25">
      <c r="E899">
        <v>897</v>
      </c>
      <c r="F899">
        <f>dz.*E899</f>
        <v>20.395199632520086</v>
      </c>
      <c r="G899">
        <f>G898+L898*dz.</f>
        <v>4.1105622340907502</v>
      </c>
      <c r="H899">
        <f>H898+M898*dz.</f>
        <v>321.49987435162558</v>
      </c>
      <c r="I899">
        <f>I898+N898*dz.</f>
        <v>320.83588278516089</v>
      </c>
      <c r="J899">
        <f>(10^(AntA.-AntB./(AntC.+(H899-273.15)))*101325/760)</f>
        <v>11333.024344154872</v>
      </c>
      <c r="K899">
        <f>(J899/(R.*H899)-G899)</f>
        <v>0.12933171582459391</v>
      </c>
      <c r="L899">
        <f>a.*kc./G.*K899</f>
        <v>0.11093230109620084</v>
      </c>
      <c r="M899">
        <f>a.*h./(L.*Cpw.)*(H899-I899)+a.*lambda.*kc./(L.*Cpw.)*K899</f>
        <v>0.61808716917864415</v>
      </c>
      <c r="N899">
        <f>a.*kc./G.*(H899-I899)</f>
        <v>0.56952861026213852</v>
      </c>
    </row>
    <row r="900" spans="5:14" x14ac:dyDescent="0.25">
      <c r="E900">
        <v>898</v>
      </c>
      <c r="F900">
        <f>dz.*E900</f>
        <v>20.417936755856228</v>
      </c>
      <c r="G900">
        <f>G899+L899*dz.</f>
        <v>4.1130845155027362</v>
      </c>
      <c r="H900">
        <f>H899+M899*dz.</f>
        <v>321.5139278758237</v>
      </c>
      <c r="I900">
        <f>I899+N899*dz.</f>
        <v>320.84883222741587</v>
      </c>
      <c r="J900">
        <f>(10^(AntA.-AntB./(AntC.+(H900-273.15)))*101325/760)</f>
        <v>11341.02038263903</v>
      </c>
      <c r="K900">
        <f>(J900/(R.*H900)-G900)</f>
        <v>0.12961544174642814</v>
      </c>
      <c r="L900">
        <f>a.*kc./G.*K900</f>
        <v>0.11117566266601407</v>
      </c>
      <c r="M900">
        <f>a.*h./(L.*Cpw.)*(H900-I900)+a.*lambda.*kc./(L.*Cpw.)*K900</f>
        <v>0.61940099591174425</v>
      </c>
      <c r="N900">
        <f>a.*kc./G.*(H900-I900)</f>
        <v>0.57047561966173088</v>
      </c>
    </row>
    <row r="901" spans="5:14" x14ac:dyDescent="0.25">
      <c r="E901">
        <v>899</v>
      </c>
      <c r="F901">
        <f>dz.*E901</f>
        <v>20.440673879192371</v>
      </c>
      <c r="G901">
        <f>G900+L900*dz.</f>
        <v>4.1156123302567504</v>
      </c>
      <c r="H901">
        <f>H900+M900*dz.</f>
        <v>321.5280112726623</v>
      </c>
      <c r="I901">
        <f>I900+N900*dz.</f>
        <v>320.8618032019404</v>
      </c>
      <c r="J901">
        <f>(10^(AntA.-AntB./(AntC.+(H901-273.15)))*101325/760)</f>
        <v>11349.038276479359</v>
      </c>
      <c r="K901">
        <f>(J901/(R.*H901)-G901)</f>
        <v>0.12990117036750881</v>
      </c>
      <c r="L901">
        <f>a.*kc./G.*K901</f>
        <v>0.11142074202047429</v>
      </c>
      <c r="M901">
        <f>a.*h./(L.*Cpw.)*(H901-I901)+a.*lambda.*kc./(L.*Cpw.)*K901</f>
        <v>0.62072416175079725</v>
      </c>
      <c r="N901">
        <f>a.*kc./G.*(H901-I901)</f>
        <v>0.57142978288691693</v>
      </c>
    </row>
    <row r="902" spans="5:14" x14ac:dyDescent="0.25">
      <c r="E902">
        <v>900</v>
      </c>
      <c r="F902">
        <f>dz.*E902</f>
        <v>20.463411002528513</v>
      </c>
      <c r="G902">
        <f>G901+L901*dz.</f>
        <v>4.1181457174102745</v>
      </c>
      <c r="H902">
        <f>H901+M901*dz.</f>
        <v>321.54212475448577</v>
      </c>
      <c r="I902">
        <f>I901+N901*dz.</f>
        <v>320.87479587139183</v>
      </c>
      <c r="J902">
        <f>(10^(AntA.-AntB./(AntC.+(H902-273.15)))*101325/760)</f>
        <v>11357.078180061069</v>
      </c>
      <c r="K902">
        <f>(J902/(R.*H902)-G902)</f>
        <v>0.13018891580115444</v>
      </c>
      <c r="L902">
        <f>a.*kc./G.*K902</f>
        <v>0.11166755126506457</v>
      </c>
      <c r="M902">
        <f>a.*h./(L.*Cpw.)*(H902-I902)+a.*lambda.*kc./(L.*Cpw.)*K902</f>
        <v>0.62205673142399265</v>
      </c>
      <c r="N902">
        <f>a.*kc./G.*(H902-I902)</f>
        <v>0.57239114255601242</v>
      </c>
    </row>
    <row r="903" spans="5:14" x14ac:dyDescent="0.25">
      <c r="E903">
        <v>901</v>
      </c>
      <c r="F903">
        <f>dz.*E903</f>
        <v>20.486148125864656</v>
      </c>
      <c r="G903">
        <f>G902+L902*dz.</f>
        <v>4.1206847162960329</v>
      </c>
      <c r="H903">
        <f>H902+M902*dz.</f>
        <v>321.55626853511023</v>
      </c>
      <c r="I903">
        <f>I902+N902*dz.</f>
        <v>320.88781039939664</v>
      </c>
      <c r="J903">
        <f>(10^(AntA.-AntB./(AntC.+(H903-273.15)))*101325/760)</f>
        <v>11365.140249000946</v>
      </c>
      <c r="K903">
        <f>(J903/(R.*H903)-G903)</f>
        <v>0.13047869230563425</v>
      </c>
      <c r="L903">
        <f>a.*kc./G.*K903</f>
        <v>0.11191610262959728</v>
      </c>
      <c r="M903">
        <f>a.*h./(L.*Cpw.)*(H903-I903)+a.*lambda.*kc./(L.*Cpw.)*K903</f>
        <v>0.62339877032338364</v>
      </c>
      <c r="N903">
        <f>a.*kc./G.*(H903-I903)</f>
        <v>0.57335974171838966</v>
      </c>
    </row>
    <row r="904" spans="5:14" x14ac:dyDescent="0.25">
      <c r="E904">
        <v>902</v>
      </c>
      <c r="F904">
        <f>dz.*E904</f>
        <v>20.508885249200798</v>
      </c>
      <c r="G904">
        <f>G903+L903*dz.</f>
        <v>4.1232293665248223</v>
      </c>
      <c r="H904">
        <f>H903+M903*dz.</f>
        <v>321.57044282983867</v>
      </c>
      <c r="I904">
        <f>I903+N903*dz.</f>
        <v>320.90084695056009</v>
      </c>
      <c r="J904">
        <f>(10^(AntA.-AntB./(AntC.+(H904-273.15)))*101325/760)</f>
        <v>11373.224640160819</v>
      </c>
      <c r="K904">
        <f>(J904/(R.*H904)-G904)</f>
        <v>0.13077051428591435</v>
      </c>
      <c r="L904">
        <f>a.*kc./G.*K904</f>
        <v>0.11216640846971176</v>
      </c>
      <c r="M904">
        <f>a.*h./(L.*Cpw.)*(H904-I904)+a.*lambda.*kc./(L.*Cpw.)*K904</f>
        <v>0.62475034451282641</v>
      </c>
      <c r="N904">
        <f>a.*kc./G.*(H904-I904)</f>
        <v>0.57433562385925618</v>
      </c>
    </row>
    <row r="905" spans="5:14" x14ac:dyDescent="0.25">
      <c r="E905">
        <v>903</v>
      </c>
      <c r="F905">
        <f>dz.*E905</f>
        <v>20.53162237253694</v>
      </c>
      <c r="G905">
        <f>G904+L904*dz.</f>
        <v>4.1257797079883707</v>
      </c>
      <c r="H905">
        <f>H904+M904*dz.</f>
        <v>321.58464785547613</v>
      </c>
      <c r="I905">
        <f>I904+N904*dz.</f>
        <v>320.9139056904761</v>
      </c>
      <c r="J905">
        <f>(10^(AntA.-AntB./(AntC.+(H905-273.15)))*101325/760)</f>
        <v>11381.331511660886</v>
      </c>
      <c r="K905">
        <f>(J905/(R.*H905)-G905)</f>
        <v>0.13106439629531952</v>
      </c>
      <c r="L905">
        <f>a.*kc./G.*K905</f>
        <v>0.11241848126829974</v>
      </c>
      <c r="M905">
        <f>a.*h./(L.*Cpw.)*(H905-I905)+a.*lambda.*kc./(L.*Cpw.)*K905</f>
        <v>0.626111520735534</v>
      </c>
      <c r="N905">
        <f>a.*kc./G.*(H905-I905)</f>
        <v>0.57531883290418884</v>
      </c>
    </row>
    <row r="906" spans="5:14" x14ac:dyDescent="0.25">
      <c r="E906">
        <v>904</v>
      </c>
      <c r="F906">
        <f>dz.*E906</f>
        <v>20.554359495873083</v>
      </c>
      <c r="G906">
        <f>G905+L905*dz.</f>
        <v>4.1283357808622299</v>
      </c>
      <c r="H906">
        <f>H905+M905*dz.</f>
        <v>321.5988838303453</v>
      </c>
      <c r="I906">
        <f>I905+N905*dz.</f>
        <v>320.92698678573743</v>
      </c>
      <c r="J906">
        <f>(10^(AntA.-AntB./(AntC.+(H906-273.15)))*101325/760)</f>
        <v>11389.461022893536</v>
      </c>
      <c r="K906">
        <f>(J906/(R.*H906)-G906)</f>
        <v>0.1313603530373415</v>
      </c>
      <c r="L906">
        <f>a.*kc./G.*K906</f>
        <v>0.11267233363705638</v>
      </c>
      <c r="M906">
        <f>a.*h./(L.*Cpw.)*(H906-I906)+a.*lambda.*kc./(L.*Cpw.)*K906</f>
        <v>0.62748236642224797</v>
      </c>
      <c r="N906">
        <f>a.*kc./G.*(H906-I906)</f>
        <v>0.57630941322371676</v>
      </c>
    </row>
    <row r="907" spans="5:14" x14ac:dyDescent="0.25">
      <c r="E907">
        <v>905</v>
      </c>
      <c r="F907">
        <f>dz.*E907</f>
        <v>20.577096619209225</v>
      </c>
      <c r="G907">
        <f>G906+L906*dz.</f>
        <v>4.1308976256087062</v>
      </c>
      <c r="H907">
        <f>H906+M906*dz.</f>
        <v>321.6131509743019</v>
      </c>
      <c r="I907">
        <f>I906+N906*dz.</f>
        <v>320.94009040394565</v>
      </c>
      <c r="J907">
        <f>(10^(AntA.-AntB./(AntC.+(H907-273.15)))*101325/760)</f>
        <v>11397.613334536882</v>
      </c>
      <c r="K907">
        <f>(J907/(R.*H907)-G907)</f>
        <v>0.13165839936729462</v>
      </c>
      <c r="L907">
        <f>a.*kc./G.*K907</f>
        <v>0.11292797831790032</v>
      </c>
      <c r="M907">
        <f>a.*h./(L.*Cpw.)*(H907-I907)+a.*lambda.*kc./(L.*Cpw.)*K907</f>
        <v>0.62886294969879364</v>
      </c>
      <c r="N907">
        <f>a.*kc./G.*(H907-I907)</f>
        <v>0.57730740963805116</v>
      </c>
    </row>
    <row r="908" spans="5:14" x14ac:dyDescent="0.25">
      <c r="E908">
        <v>906</v>
      </c>
      <c r="F908">
        <f>dz.*E908</f>
        <v>20.599833742545371</v>
      </c>
      <c r="G908">
        <f>G907+L907*dz.</f>
        <v>4.133465282979822</v>
      </c>
      <c r="H908">
        <f>H907+M907*dz.</f>
        <v>321.62744950875071</v>
      </c>
      <c r="I908">
        <f>I907+N907*dz.</f>
        <v>320.95321671372147</v>
      </c>
      <c r="J908">
        <f>(10^(AntA.-AntB./(AntC.+(H908-273.15)))*101325/760)</f>
        <v>11405.788608569066</v>
      </c>
      <c r="K908">
        <f>(J908/(R.*H908)-G908)</f>
        <v>0.13195855029422265</v>
      </c>
      <c r="L908">
        <f>a.*kc./G.*K908</f>
        <v>0.11318542818460928</v>
      </c>
      <c r="M908">
        <f>a.*h./(L.*Cpw.)*(H908-I908)+a.*lambda.*kc./(L.*Cpw.)*K908</f>
        <v>0.63025333939469619</v>
      </c>
      <c r="N908">
        <f>a.*kc./G.*(H908-I908)</f>
        <v>0.57831286742191212</v>
      </c>
    </row>
    <row r="909" spans="5:14" x14ac:dyDescent="0.25">
      <c r="E909">
        <v>907</v>
      </c>
      <c r="F909">
        <f>dz.*E909</f>
        <v>20.622570865881514</v>
      </c>
      <c r="G909">
        <f>G908+L908*dz.</f>
        <v>4.1360387940203092</v>
      </c>
      <c r="H909">
        <f>H908+M908*dz.</f>
        <v>321.64177965666153</v>
      </c>
      <c r="I909">
        <f>I908+N908*dz.</f>
        <v>320.96636588471495</v>
      </c>
      <c r="J909">
        <f>(10^(AntA.-AntB./(AntC.+(H909-273.15)))*101325/760)</f>
        <v>11413.987008282251</v>
      </c>
      <c r="K909">
        <f>(J909/(R.*H909)-G909)</f>
        <v>0.13226082098264591</v>
      </c>
      <c r="L909">
        <f>a.*kc./G.*K909</f>
        <v>0.11344469624431865</v>
      </c>
      <c r="M909">
        <f>a.*h./(L.*Cpw.)*(H909-I909)+a.*lambda.*kc./(L.*Cpw.)*K909</f>
        <v>0.63165360505115087</v>
      </c>
      <c r="N909">
        <f>a.*kc./G.*(H909-I909)</f>
        <v>0.5793258323095013</v>
      </c>
    </row>
    <row r="910" spans="5:14" x14ac:dyDescent="0.25">
      <c r="E910">
        <v>908</v>
      </c>
      <c r="F910">
        <f>dz.*E910</f>
        <v>20.645307989217656</v>
      </c>
      <c r="G910">
        <f>G909+L909*dz.</f>
        <v>4.1386182000706473</v>
      </c>
      <c r="H910">
        <f>H909+M909*dz.</f>
        <v>321.65614164258528</v>
      </c>
      <c r="I910">
        <f>I909+N909*dz.</f>
        <v>320.97953808761599</v>
      </c>
      <c r="J910">
        <f>(10^(AntA.-AntB./(AntC.+(H910-273.15)))*101325/760)</f>
        <v>11422.208698297005</v>
      </c>
      <c r="K910">
        <f>(J910/(R.*H910)-G910)</f>
        <v>0.13256522675441129</v>
      </c>
      <c r="L910">
        <f>a.*kc./G.*K910</f>
        <v>0.11370579563910822</v>
      </c>
      <c r="M910">
        <f>a.*h./(L.*Cpw.)*(H910-I910)+a.*lambda.*kc./(L.*Cpw.)*K910</f>
        <v>0.63306381692939528</v>
      </c>
      <c r="N910">
        <f>a.*kc./G.*(H910-I910)</f>
        <v>0.58034635049928096</v>
      </c>
    </row>
    <row r="911" spans="5:14" x14ac:dyDescent="0.25">
      <c r="E911">
        <v>909</v>
      </c>
      <c r="F911">
        <f>dz.*E911</f>
        <v>20.668045112553799</v>
      </c>
      <c r="G911">
        <f>G910+L910*dz.</f>
        <v>4.1412035427701284</v>
      </c>
      <c r="H911">
        <f>H910+M910*dz.</f>
        <v>321.67053569267046</v>
      </c>
      <c r="I911">
        <f>I910+N910*dz.</f>
        <v>320.99273349416495</v>
      </c>
      <c r="J911">
        <f>(10^(AntA.-AntB./(AntC.+(H911-273.15)))*101325/760)</f>
        <v>11430.453844576878</v>
      </c>
      <c r="K911">
        <f>(J911/(R.*H911)-G911)</f>
        <v>0.13287178309057524</v>
      </c>
      <c r="L911">
        <f>a.*kc./G.*K911</f>
        <v>0.11396873964761738</v>
      </c>
      <c r="M911">
        <f>a.*h./(L.*Cpw.)*(H911-I911)+a.*lambda.*kc./(L.*Cpw.)*K911</f>
        <v>0.63448404601925323</v>
      </c>
      <c r="N911">
        <f>a.*kc./G.*(H911-I911)</f>
        <v>0.58137446865899478</v>
      </c>
    </row>
    <row r="912" spans="5:14" x14ac:dyDescent="0.25">
      <c r="E912">
        <v>910</v>
      </c>
      <c r="F912">
        <f>dz.*E912</f>
        <v>20.690782235889941</v>
      </c>
      <c r="G912">
        <f>G911+L911*dz.</f>
        <v>4.1437948640599611</v>
      </c>
      <c r="H912">
        <f>H911+M911*dz.</f>
        <v>321.68496203467959</v>
      </c>
      <c r="I912">
        <f>I911+N911*dz.</f>
        <v>321.00595227716332</v>
      </c>
      <c r="J912">
        <f>(10^(AntA.-AntB./(AntC.+(H912-273.15)))*101325/760)</f>
        <v>11438.722614443055</v>
      </c>
      <c r="K912">
        <f>(J912/(R.*H912)-G912)</f>
        <v>0.13318050563327333</v>
      </c>
      <c r="L912">
        <f>a.*kc./G.*K912</f>
        <v>0.11423354168664868</v>
      </c>
      <c r="M912">
        <f>a.*h./(L.*Cpw.)*(H912-I912)+a.*lambda.*kc./(L.*Cpw.)*K912</f>
        <v>0.63591436404761503</v>
      </c>
      <c r="N912">
        <f>a.*kc./G.*(H912-I912)</f>
        <v>0.58241023393064217</v>
      </c>
    </row>
    <row r="913" spans="5:14" x14ac:dyDescent="0.25">
      <c r="E913">
        <v>911</v>
      </c>
      <c r="F913">
        <f>dz.*E913</f>
        <v>20.713519359226083</v>
      </c>
      <c r="G913">
        <f>G912+L912*dz.</f>
        <v>4.1463922061864151</v>
      </c>
      <c r="H913">
        <f>H912+M912*dz.</f>
        <v>321.69942089800617</v>
      </c>
      <c r="I913">
        <f>I912+N912*dz.</f>
        <v>321.01919461048442</v>
      </c>
      <c r="J913">
        <f>(10^(AntA.-AntB./(AntC.+(H913-273.15)))*101325/760)</f>
        <v>11447.015176589352</v>
      </c>
      <c r="K913">
        <f>(J913/(R.*H913)-G913)</f>
        <v>0.1334914101876663</v>
      </c>
      <c r="L913">
        <f>a.*kc./G.*K913</f>
        <v>0.11450021531283701</v>
      </c>
      <c r="M913">
        <f>a.*h./(L.*Cpw.)*(H913-I913)+a.*lambda.*kc./(L.*Cpw.)*K913</f>
        <v>0.63735484348728455</v>
      </c>
      <c r="N913">
        <f>a.*kc./G.*(H913-I913)</f>
        <v>0.58345369393579194</v>
      </c>
    </row>
    <row r="914" spans="5:14" x14ac:dyDescent="0.25">
      <c r="E914">
        <v>912</v>
      </c>
      <c r="F914">
        <f>dz.*E914</f>
        <v>20.736256482562226</v>
      </c>
      <c r="G914">
        <f>G913+L913*dz.</f>
        <v>4.1489956117039979</v>
      </c>
      <c r="H914">
        <f>H913+M913*dz.</f>
        <v>321.71391251369141</v>
      </c>
      <c r="I914">
        <f>I913+N913*dz.</f>
        <v>321.03246066908434</v>
      </c>
      <c r="J914">
        <f>(10^(AntA.-AntB./(AntC.+(H914-273.15)))*101325/760)</f>
        <v>11455.331701097268</v>
      </c>
      <c r="K914">
        <f>(J914/(R.*H914)-G914)</f>
        <v>0.13380451272387006</v>
      </c>
      <c r="L914">
        <f>a.*kc./G.*K914</f>
        <v>0.11476877422430498</v>
      </c>
      <c r="M914">
        <f>a.*h./(L.*Cpw.)*(H914-I914)+a.*lambda.*kc./(L.*Cpw.)*K914</f>
        <v>0.63880555756571866</v>
      </c>
      <c r="N914">
        <f>a.*kc./G.*(H914-I914)</f>
        <v>0.58450489678060435</v>
      </c>
    </row>
    <row r="915" spans="5:14" x14ac:dyDescent="0.25">
      <c r="E915">
        <v>913</v>
      </c>
      <c r="F915">
        <f>dz.*E915</f>
        <v>20.758993605898368</v>
      </c>
      <c r="G915">
        <f>G914+L914*dz.</f>
        <v>4.1516051234786735</v>
      </c>
      <c r="H915">
        <f>H914+M914*dz.</f>
        <v>321.72843711444159</v>
      </c>
      <c r="I915">
        <f>I914+N914*dz.</f>
        <v>321.04575062901301</v>
      </c>
      <c r="J915">
        <f>(10^(AntA.-AntB./(AntC.+(H915-273.15)))*101325/760)</f>
        <v>11463.67235945129</v>
      </c>
      <c r="K915">
        <f>(J915/(R.*H915)-G915)</f>
        <v>0.13411982937892919</v>
      </c>
      <c r="L915">
        <f>a.*kc./G.*K915</f>
        <v>0.11503923226235581</v>
      </c>
      <c r="M915">
        <f>a.*h./(L.*Cpw.)*(H915-I915)+a.*lambda.*kc./(L.*Cpw.)*K915</f>
        <v>0.64026658027399508</v>
      </c>
      <c r="N915">
        <f>a.*kc./G.*(H915-I915)</f>
        <v>0.58556389106119477</v>
      </c>
    </row>
    <row r="916" spans="5:14" x14ac:dyDescent="0.25">
      <c r="E916">
        <v>914</v>
      </c>
      <c r="F916">
        <f>dz.*E916</f>
        <v>20.781730729234511</v>
      </c>
      <c r="G916">
        <f>G915+L915*dz.</f>
        <v>4.1542207846911179</v>
      </c>
      <c r="H916">
        <f>H915+M915*dz.</f>
        <v>321.74299493464531</v>
      </c>
      <c r="I916">
        <f>I915+N915*dz.</f>
        <v>321.05906466742528</v>
      </c>
      <c r="J916">
        <f>(10^(AntA.-AntB./(AntC.+(H916-273.15)))*101325/760)</f>
        <v>11472.0373245545</v>
      </c>
      <c r="K916">
        <f>(J916/(R.*H916)-G916)</f>
        <v>0.134437376458866</v>
      </c>
      <c r="L916">
        <f>a.*kc./G.*K916</f>
        <v>0.1153116034132307</v>
      </c>
      <c r="M916">
        <f>a.*h./(L.*Cpw.)*(H916-I916)+a.*lambda.*kc./(L.*Cpw.)*K916</f>
        <v>0.6417379863760887</v>
      </c>
      <c r="N916">
        <f>a.*kc./G.*(H916-I916)</f>
        <v>0.58663072586894771</v>
      </c>
    </row>
    <row r="917" spans="5:14" x14ac:dyDescent="0.25">
      <c r="E917">
        <v>915</v>
      </c>
      <c r="F917">
        <f>dz.*E917</f>
        <v>20.804467852570657</v>
      </c>
      <c r="G917">
        <f>G916+L916*dz.</f>
        <v>4.156842638840013</v>
      </c>
      <c r="H917">
        <f>H916+M916*dz.</f>
        <v>321.75758621039103</v>
      </c>
      <c r="I917">
        <f>I916+N916*dz.</f>
        <v>321.07240296259215</v>
      </c>
      <c r="J917">
        <f>(10^(AntA.-AntB./(AntC.+(H917-273.15)))*101325/760)</f>
        <v>11480.426770744036</v>
      </c>
      <c r="K917">
        <f>(J917/(R.*H917)-G917)</f>
        <v>0.13475717044062119</v>
      </c>
      <c r="L917">
        <f>a.*kc./G.*K917</f>
        <v>0.11558590180977353</v>
      </c>
      <c r="M917">
        <f>a.*h./(L.*Cpw.)*(H917-I917)+a.*lambda.*kc./(L.*Cpw.)*K917</f>
        <v>0.64321985141770244</v>
      </c>
      <c r="N917">
        <f>a.*kc./G.*(H917-I917)</f>
        <v>0.58770545079587999</v>
      </c>
    </row>
    <row r="918" spans="5:14" x14ac:dyDescent="0.25">
      <c r="E918">
        <v>916</v>
      </c>
      <c r="F918">
        <f>dz.*E918</f>
        <v>20.827204975906799</v>
      </c>
      <c r="G918">
        <f>G917+L917*dz.</f>
        <v>4.1594707297453812</v>
      </c>
      <c r="H918">
        <f>H917+M917*dz.</f>
        <v>321.77221117948494</v>
      </c>
      <c r="I918">
        <f>I917+N917*dz.</f>
        <v>321.08576569391221</v>
      </c>
      <c r="J918">
        <f>(10^(AntA.-AntB./(AntC.+(H918-273.15)))*101325/760)</f>
        <v>11488.840873807299</v>
      </c>
      <c r="K918">
        <f>(J918/(R.*H918)-G918)</f>
        <v>0.13507922797422545</v>
      </c>
      <c r="L918">
        <f>a.*kc./G.*K918</f>
        <v>0.11586214173329347</v>
      </c>
      <c r="M918">
        <f>a.*h./(L.*Cpw.)*(H918-I918)+a.*lambda.*kc./(L.*Cpw.)*K918</f>
        <v>0.64471225173609459</v>
      </c>
      <c r="N918">
        <f>a.*kc./G.*(H918-I918)</f>
        <v>0.58878811594024816</v>
      </c>
    </row>
    <row r="919" spans="5:14" x14ac:dyDescent="0.25">
      <c r="E919">
        <v>917</v>
      </c>
      <c r="F919">
        <f>dz.*E919</f>
        <v>20.849942099242941</v>
      </c>
      <c r="G919">
        <f>G918+L918*dz.</f>
        <v>4.162105101551961</v>
      </c>
      <c r="H919">
        <f>H918+M918*dz.</f>
        <v>321.78687008146898</v>
      </c>
      <c r="I919">
        <f>I918+N918*dz.</f>
        <v>321.09915304192322</v>
      </c>
      <c r="J919">
        <f>(10^(AntA.-AntB./(AntC.+(H919-273.15)))*101325/760)</f>
        <v>11497.27981099789</v>
      </c>
      <c r="K919">
        <f>(J919/(R.*H919)-G919)</f>
        <v>0.13540356588482982</v>
      </c>
      <c r="L919">
        <f>a.*kc./G.*K919</f>
        <v>0.11614033761530647</v>
      </c>
      <c r="M919">
        <f>a.*h./(L.*Cpw.)*(H919-I919)+a.*lambda.*kc./(L.*Cpw.)*K919</f>
        <v>0.64621526446929112</v>
      </c>
      <c r="N919">
        <f>a.*kc./G.*(H919-I919)</f>
        <v>0.58987877191196014</v>
      </c>
    </row>
    <row r="920" spans="5:14" x14ac:dyDescent="0.25">
      <c r="E920">
        <v>918</v>
      </c>
      <c r="F920">
        <f>dz.*E920</f>
        <v>20.872679222579084</v>
      </c>
      <c r="G920">
        <f>G919+L919*dz.</f>
        <v>4.1647457987326213</v>
      </c>
      <c r="H920">
        <f>H919+M919*dz.</f>
        <v>321.8015631576389</v>
      </c>
      <c r="I920">
        <f>I919+N919*dz.</f>
        <v>321.11256518831357</v>
      </c>
      <c r="J920">
        <f>(10^(AntA.-AntB./(AntC.+(H920-273.15)))*101325/760)</f>
        <v>11505.743761051914</v>
      </c>
      <c r="K920">
        <f>(J920/(R.*H920)-G920)</f>
        <v>0.13573020117481605</v>
      </c>
      <c r="L920">
        <f>a.*kc./G.*K920</f>
        <v>0.11642050403934541</v>
      </c>
      <c r="M920">
        <f>a.*h./(L.*Cpw.)*(H920-I920)+a.*lambda.*kc./(L.*Cpw.)*K920</f>
        <v>0.64772896756567722</v>
      </c>
      <c r="N920">
        <f>a.*kc./G.*(H920-I920)</f>
        <v>0.59097746983832877</v>
      </c>
    </row>
    <row r="921" spans="5:14" x14ac:dyDescent="0.25">
      <c r="E921">
        <v>919</v>
      </c>
      <c r="F921">
        <f>dz.*E921</f>
        <v>20.895416345915226</v>
      </c>
      <c r="G921">
        <f>G920+L920*dz.</f>
        <v>4.16739286609182</v>
      </c>
      <c r="H921">
        <f>H920+M920*dz.</f>
        <v>321.81629065106284</v>
      </c>
      <c r="I921">
        <f>I920+N920*dz.</f>
        <v>321.12600231593416</v>
      </c>
      <c r="J921">
        <f>(10^(AntA.-AntB./(AntC.+(H921-273.15)))*101325/760)</f>
        <v>11514.232904204689</v>
      </c>
      <c r="K921">
        <f>(J921/(R.*H921)-G921)</f>
        <v>0.13605915102601607</v>
      </c>
      <c r="L921">
        <f>a.*kc./G.*K921</f>
        <v>0.11670265574286384</v>
      </c>
      <c r="M921">
        <f>a.*h./(L.*Cpw.)*(H921-I921)+a.*lambda.*kc./(L.*Cpw.)*K921</f>
        <v>0.64925343979403816</v>
      </c>
      <c r="N921">
        <f>a.*kc./G.*(H921-I921)</f>
        <v>0.59208426136977588</v>
      </c>
    </row>
    <row r="922" spans="5:14" x14ac:dyDescent="0.25">
      <c r="E922">
        <v>920</v>
      </c>
      <c r="F922">
        <f>dz.*E922</f>
        <v>20.918153469251369</v>
      </c>
      <c r="G922">
        <f>G921+L921*dz.</f>
        <v>4.1700463487691009</v>
      </c>
      <c r="H922">
        <f>H921+M921*dz.</f>
        <v>321.83105280659987</v>
      </c>
      <c r="I922">
        <f>I921+N921*dz.</f>
        <v>321.13946460881033</v>
      </c>
      <c r="J922">
        <f>(10^(AntA.-AntB./(AntC.+(H922-273.15)))*101325/760)</f>
        <v>11522.747422207343</v>
      </c>
      <c r="K922">
        <f>(J922/(R.*H922)-G922)</f>
        <v>0.13639043280183483</v>
      </c>
      <c r="L922">
        <f>a.*kc./G.*K922</f>
        <v>0.11698680761905678</v>
      </c>
      <c r="M922">
        <f>a.*h./(L.*Cpw.)*(H922-I922)+a.*lambda.*kc./(L.*Cpw.)*K922</f>
        <v>0.65078876075319003</v>
      </c>
      <c r="N922">
        <f>a.*kc./G.*(H922-I922)</f>
        <v>0.59319919868548854</v>
      </c>
    </row>
    <row r="923" spans="5:14" x14ac:dyDescent="0.25">
      <c r="E923">
        <v>921</v>
      </c>
      <c r="F923">
        <f>dz.*E923</f>
        <v>20.940890592587511</v>
      </c>
      <c r="G923">
        <f>G922+L922*dz.</f>
        <v>4.172706292242637</v>
      </c>
      <c r="H923">
        <f>H922+M922*dz.</f>
        <v>321.84584987091887</v>
      </c>
      <c r="I923">
        <f>I922+N922*dz.</f>
        <v>321.15295225215374</v>
      </c>
      <c r="J923">
        <f>(10^(AntA.-AntB./(AntC.+(H923-273.15)))*101325/760)</f>
        <v>11531.287498343798</v>
      </c>
      <c r="K923">
        <f>(J923/(R.*H923)-G923)</f>
        <v>0.13672406404947068</v>
      </c>
      <c r="L923">
        <f>a.*kc./G.*K923</f>
        <v>0.11727297471876523</v>
      </c>
      <c r="M923">
        <f>a.*h./(L.*Cpw.)*(H923-I923)+a.*lambda.*kc./(L.*Cpw.)*K923</f>
        <v>0.65233501088207124</v>
      </c>
      <c r="N923">
        <f>a.*kc./G.*(H923-I923)</f>
        <v>0.59432233449946459</v>
      </c>
    </row>
    <row r="924" spans="5:14" x14ac:dyDescent="0.25">
      <c r="E924">
        <v>922</v>
      </c>
      <c r="F924">
        <f>dz.*E924</f>
        <v>20.963627715923653</v>
      </c>
      <c r="G924">
        <f>G923+L923*dz.</f>
        <v>4.1753727423328142</v>
      </c>
      <c r="H924">
        <f>H923+M923*dz.</f>
        <v>321.86068209251778</v>
      </c>
      <c r="I924">
        <f>I923+N923*dz.</f>
        <v>321.16646543237465</v>
      </c>
      <c r="J924">
        <f>(10^(AntA.-AntB./(AntC.+(H924-273.15)))*101325/760)</f>
        <v>11539.853317448173</v>
      </c>
      <c r="K924">
        <f>(J924/(R.*H924)-G924)</f>
        <v>0.13706006250223624</v>
      </c>
      <c r="L924">
        <f>a.*kc./G.*K924</f>
        <v>0.11756117225246684</v>
      </c>
      <c r="M924">
        <f>a.*h./(L.*Cpw.)*(H924-I924)+a.*lambda.*kc./(L.*Cpw.)*K924</f>
        <v>0.65389227147023943</v>
      </c>
      <c r="N924">
        <f>a.*kc./G.*(H924-I924)</f>
        <v>0.59545372206646108</v>
      </c>
    </row>
    <row r="925" spans="5:14" x14ac:dyDescent="0.25">
      <c r="E925">
        <v>923</v>
      </c>
      <c r="F925">
        <f>dz.*E925</f>
        <v>20.986364839259796</v>
      </c>
      <c r="G925">
        <f>G924+L924*dz.</f>
        <v>4.1780457452058597</v>
      </c>
      <c r="H925">
        <f>H924+M924*dz.</f>
        <v>321.87554972174274</v>
      </c>
      <c r="I925">
        <f>I924+N924*dz.</f>
        <v>321.18000433709426</v>
      </c>
      <c r="J925">
        <f>(10^(AntA.-AntB./(AntC.+(H925-273.15)))*101325/760)</f>
        <v>11548.445065921976</v>
      </c>
      <c r="K925">
        <f>(J925/(R.*H925)-G925)</f>
        <v>0.13739844608175389</v>
      </c>
      <c r="L925">
        <f>a.*kc./G.*K925</f>
        <v>0.11785141559215913</v>
      </c>
      <c r="M925">
        <f>a.*h./(L.*Cpw.)*(H925-I925)+a.*lambda.*kc./(L.*Cpw.)*K925</f>
        <v>0.65546062466783162</v>
      </c>
      <c r="N925">
        <f>a.*kc./G.*(H925-I925)</f>
        <v>0.59659341518784503</v>
      </c>
    </row>
    <row r="926" spans="5:14" x14ac:dyDescent="0.25">
      <c r="E926">
        <v>924</v>
      </c>
      <c r="F926">
        <f>dz.*E926</f>
        <v>21.009101962595938</v>
      </c>
      <c r="G926">
        <f>G925+L925*dz.</f>
        <v>4.1807253473775177</v>
      </c>
      <c r="H926">
        <f>H925+M925*dz.</f>
        <v>321.89045301080779</v>
      </c>
      <c r="I926">
        <f>I925+N925*dz.</f>
        <v>321.19356915515692</v>
      </c>
      <c r="J926">
        <f>(10^(AntA.-AntB./(AntC.+(H926-273.15)))*101325/760)</f>
        <v>11557.062931751931</v>
      </c>
      <c r="K926">
        <f>(J926/(R.*H926)-G926)</f>
        <v>0.13773923290032641</v>
      </c>
      <c r="L926">
        <f>a.*kc./G.*K926</f>
        <v>0.11814372027339273</v>
      </c>
      <c r="M926">
        <f>a.*h./(L.*Cpw.)*(H926-I926)+a.*lambda.*kc./(L.*Cpw.)*K926</f>
        <v>0.65704015349632994</v>
      </c>
      <c r="N926">
        <f>a.*kc./G.*(H926-I926)</f>
        <v>0.59774146821798035</v>
      </c>
    </row>
    <row r="927" spans="5:14" x14ac:dyDescent="0.25">
      <c r="E927">
        <v>925</v>
      </c>
      <c r="F927">
        <f>dz.*E927</f>
        <v>21.031839085932084</v>
      </c>
      <c r="G927">
        <f>G926+L926*dz.</f>
        <v>4.1834115957167644</v>
      </c>
      <c r="H927">
        <f>H926+M926*dz.</f>
        <v>321.90539221381465</v>
      </c>
      <c r="I927">
        <f>I926+N926*dz.</f>
        <v>321.20716007664294</v>
      </c>
      <c r="J927">
        <f>(10^(AntA.-AntB./(AntC.+(H927-273.15)))*101325/760)</f>
        <v>11565.707104527803</v>
      </c>
      <c r="K927">
        <f>(J927/(R.*H927)-G927)</f>
        <v>0.13808244126327018</v>
      </c>
      <c r="L927">
        <f>a.*kc./G.*K927</f>
        <v>0.11843810199727281</v>
      </c>
      <c r="M927">
        <f>a.*h./(L.*Cpw.)*(H927-I927)+a.*lambda.*kc./(L.*Cpw.)*K927</f>
        <v>0.6586309418591223</v>
      </c>
      <c r="N927">
        <f>a.*kc./G.*(H927-I927)</f>
        <v>0.59889793607027397</v>
      </c>
    </row>
    <row r="928" spans="5:14" x14ac:dyDescent="0.25">
      <c r="E928">
        <v>926</v>
      </c>
      <c r="F928">
        <f>dz.*E928</f>
        <v>21.054576209268227</v>
      </c>
      <c r="G928">
        <f>G927+L927*dz.</f>
        <v>4.1861045374495749</v>
      </c>
      <c r="H928">
        <f>H927+M927*dz.</f>
        <v>321.92036758677273</v>
      </c>
      <c r="I928">
        <f>I927+N927*dz.</f>
        <v>321.22077729288111</v>
      </c>
      <c r="J928">
        <f>(10^(AntA.-AntB./(AntC.+(H928-273.15)))*101325/760)</f>
        <v>11574.377775460602</v>
      </c>
      <c r="K928">
        <f>(J928/(R.*H928)-G928)</f>
        <v>0.13842808967131237</v>
      </c>
      <c r="L928">
        <f>a.*kc./G.*K928</f>
        <v>0.11873457663251512</v>
      </c>
      <c r="M928">
        <f>a.*h./(L.*Cpw.)*(H928-I928)+a.*lambda.*kc./(L.*Cpw.)*K928</f>
        <v>0.66023307455237235</v>
      </c>
      <c r="N928">
        <f>a.*kc./G.*(H928-I928)</f>
        <v>0.6000628742235139</v>
      </c>
    </row>
    <row r="929" spans="5:14" x14ac:dyDescent="0.25">
      <c r="E929">
        <v>927</v>
      </c>
      <c r="F929">
        <f>dz.*E929</f>
        <v>21.077313332604369</v>
      </c>
      <c r="G929">
        <f>G928+L928*dz.</f>
        <v>4.1888042201627327</v>
      </c>
      <c r="H929">
        <f>H928+M928*dz.</f>
        <v>321.93537938761943</v>
      </c>
      <c r="I929">
        <f>I928+N928*dz.</f>
        <v>321.23442099646178</v>
      </c>
      <c r="J929">
        <f>(10^(AntA.-AntB./(AntC.+(H929-273.15)))*101325/760)</f>
        <v>11583.07513740086</v>
      </c>
      <c r="K929">
        <f>(J929/(R.*H929)-G929)</f>
        <v>0.13877619682298015</v>
      </c>
      <c r="L929">
        <f>a.*kc./G.*K929</f>
        <v>0.11903316021749534</v>
      </c>
      <c r="M929">
        <f>a.*h./(L.*Cpw.)*(H929-I929)+a.*lambda.*kc./(L.*Cpw.)*K929</f>
        <v>0.66184663727584725</v>
      </c>
      <c r="N929">
        <f>a.*kc./G.*(H929-I929)</f>
        <v>0.60123633872815918</v>
      </c>
    </row>
    <row r="930" spans="5:14" x14ac:dyDescent="0.25">
      <c r="E930">
        <v>928</v>
      </c>
      <c r="F930">
        <f>dz.*E930</f>
        <v>21.100050455940512</v>
      </c>
      <c r="G930">
        <f>G929+L929*dz.</f>
        <v>4.1915106918076885</v>
      </c>
      <c r="H930">
        <f>H929+M929*dz.</f>
        <v>321.95042787624078</v>
      </c>
      <c r="I930">
        <f>I929+N929*dz.</f>
        <v>321.24809138124959</v>
      </c>
      <c r="J930">
        <f>(10^(AntA.-AntB./(AntC.+(H930-273.15)))*101325/760)</f>
        <v>11591.799384857364</v>
      </c>
      <c r="K930">
        <f>(J930/(R.*H930)-G930)</f>
        <v>0.13912678161709202</v>
      </c>
      <c r="L930">
        <f>a.*kc./G.*K930</f>
        <v>0.119333868962386</v>
      </c>
      <c r="M930">
        <f>a.*h./(L.*Cpw.)*(H930-I930)+a.*lambda.*kc./(L.*Cpw.)*K930</f>
        <v>0.66347171664422666</v>
      </c>
      <c r="N930">
        <f>a.*kc./G.*(H930-I930)</f>
        <v>0.60241838621301924</v>
      </c>
    </row>
    <row r="931" spans="5:14" x14ac:dyDescent="0.25">
      <c r="E931">
        <v>929</v>
      </c>
      <c r="F931">
        <f>dz.*E931</f>
        <v>21.122787579276654</v>
      </c>
      <c r="G931">
        <f>G930+L930*dz.</f>
        <v>4.1942240007044651</v>
      </c>
      <c r="H931">
        <f>H930+M930*dz.</f>
        <v>321.96551331449217</v>
      </c>
      <c r="I931">
        <f>I930+N930*dz.</f>
        <v>321.26178864239688</v>
      </c>
      <c r="J931">
        <f>(10^(AntA.-AntB./(AntC.+(H931-273.15)))*101325/760)</f>
        <v>11600.550714016066</v>
      </c>
      <c r="K931">
        <f>(J931/(R.*H931)-G931)</f>
        <v>0.13947986315526162</v>
      </c>
      <c r="L931">
        <f>a.*kc./G.*K931</f>
        <v>0.11963671925130399</v>
      </c>
      <c r="M931">
        <f>a.*h./(L.*Cpw.)*(H931-I931)+a.*lambda.*kc./(L.*Cpw.)*K931</f>
        <v>0.66510840019842266</v>
      </c>
      <c r="N931">
        <f>a.*kc./G.*(H931-I931)</f>
        <v>0.60360907389164087</v>
      </c>
    </row>
    <row r="932" spans="5:14" x14ac:dyDescent="0.25">
      <c r="E932">
        <v>930</v>
      </c>
      <c r="F932">
        <f>dz.*E932</f>
        <v>21.145524702612796</v>
      </c>
      <c r="G932">
        <f>G931+L931*dz.</f>
        <v>4.1969441955456137</v>
      </c>
      <c r="H932">
        <f>H931+M931*dz.</f>
        <v>321.98063596621938</v>
      </c>
      <c r="I932">
        <f>I931+N931*dz.</f>
        <v>321.27551297635677</v>
      </c>
      <c r="J932">
        <f>(10^(AntA.-AntB./(AntC.+(H932-273.15)))*101325/760)</f>
        <v>11609.329322759053</v>
      </c>
      <c r="K932">
        <f>(J932/(R.*H932)-G932)</f>
        <v>0.13983546074436681</v>
      </c>
      <c r="L932">
        <f>a.*kc./G.*K932</f>
        <v>0.11994172764442855</v>
      </c>
      <c r="M932">
        <f>a.*h./(L.*Cpw.)*(H932-I932)+a.*lambda.*kc./(L.*Cpw.)*K932</f>
        <v>0.66675677641680242</v>
      </c>
      <c r="N932">
        <f>a.*kc./G.*(H932-I932)</f>
        <v>0.60480845956903717</v>
      </c>
    </row>
    <row r="933" spans="5:14" x14ac:dyDescent="0.25">
      <c r="E933">
        <v>931</v>
      </c>
      <c r="F933">
        <f>dz.*E933</f>
        <v>21.168261825948939</v>
      </c>
      <c r="G933">
        <f>G932+L932*dz.</f>
        <v>4.1996713254002147</v>
      </c>
      <c r="H933">
        <f>H932+M932*dz.</f>
        <v>321.99579609727999</v>
      </c>
      <c r="I933">
        <f>I932+N932*dz.</f>
        <v>321.28926458089671</v>
      </c>
      <c r="J933">
        <f>(10^(AntA.-AntB./(AntC.+(H933-273.15)))*101325/760)</f>
        <v>11618.135410684166</v>
      </c>
      <c r="K933">
        <f>(J933/(R.*H933)-G933)</f>
        <v>0.14019359389920716</v>
      </c>
      <c r="L933">
        <f>a.*kc./G.*K933</f>
        <v>0.12024891088028049</v>
      </c>
      <c r="M933">
        <f>a.*h./(L.*Cpw.)*(H933-I933)+a.*lambda.*kc./(L.*Cpw.)*K933</f>
        <v>0.66841693472720198</v>
      </c>
      <c r="N933">
        <f>a.*kc./G.*(H933-I933)</f>
        <v>0.60601660164846416</v>
      </c>
    </row>
    <row r="934" spans="5:14" x14ac:dyDescent="0.25">
      <c r="E934">
        <v>932</v>
      </c>
      <c r="F934">
        <f>dz.*E934</f>
        <v>21.190998949285081</v>
      </c>
      <c r="G934">
        <f>G933+L933*dz.</f>
        <v>4.2024054397179365</v>
      </c>
      <c r="H934">
        <f>H933+M933*dz.</f>
        <v>322.01099397556487</v>
      </c>
      <c r="I934">
        <f>I933+N933*dz.</f>
        <v>321.30304365511216</v>
      </c>
      <c r="J934">
        <f>(10^(AntA.-AntB./(AntC.+(H934-273.15)))*101325/760)</f>
        <v>11626.969179124446</v>
      </c>
      <c r="K934">
        <f>(J934/(R.*H934)-G934)</f>
        <v>0.14055428234501921</v>
      </c>
      <c r="L934">
        <f>a.*kc./G.*K934</f>
        <v>0.12055828587787976</v>
      </c>
      <c r="M934">
        <f>a.*h./(L.*Cpw.)*(H934-I934)+a.*lambda.*kc./(L.*Cpw.)*K934</f>
        <v>0.67008896551834196</v>
      </c>
      <c r="N934">
        <f>a.*kc./G.*(H934-I934)</f>
        <v>0.60723355913814958</v>
      </c>
    </row>
    <row r="935" spans="5:14" x14ac:dyDescent="0.25">
      <c r="E935">
        <v>933</v>
      </c>
      <c r="F935">
        <f>dz.*E935</f>
        <v>21.213736072621224</v>
      </c>
      <c r="G935">
        <f>G934+L934*dz.</f>
        <v>4.205146588333136</v>
      </c>
      <c r="H935">
        <f>H934+M934*dz.</f>
        <v>322.02622987102006</v>
      </c>
      <c r="I935">
        <f>I934+N934*dz.</f>
        <v>321.31685039944011</v>
      </c>
      <c r="J935">
        <f>(10^(AntA.-AntB./(AntC.+(H935-273.15)))*101325/760)</f>
        <v>11635.830831168232</v>
      </c>
      <c r="K935">
        <f>(J935/(R.*H935)-G935)</f>
        <v>0.14091754602019968</v>
      </c>
      <c r="L935">
        <f>a.*kc./G.*K935</f>
        <v>0.12086986973908118</v>
      </c>
      <c r="M935">
        <f>a.*h./(L.*Cpw.)*(H935-I935)+a.*lambda.*kc./(L.*Cpw.)*K935</f>
        <v>0.67177296015216248</v>
      </c>
      <c r="N935">
        <f>a.*kc./G.*(H935-I935)</f>
        <v>0.60845939165841112</v>
      </c>
    </row>
    <row r="936" spans="5:14" x14ac:dyDescent="0.25">
      <c r="E936">
        <v>934</v>
      </c>
      <c r="F936">
        <f>dz.*E936</f>
        <v>21.23647319595737</v>
      </c>
      <c r="G936">
        <f>G935+L935*dz.</f>
        <v>4.2078948214690168</v>
      </c>
      <c r="H936">
        <f>H935+M935*dz.</f>
        <v>322.04150405566895</v>
      </c>
      <c r="I936">
        <f>I935+N935*dz.</f>
        <v>321.33068501567328</v>
      </c>
      <c r="J936">
        <f>(10^(AntA.-AntB./(AntC.+(H936-273.15)))*101325/760)</f>
        <v>11644.720571679225</v>
      </c>
      <c r="K936">
        <f>(J936/(R.*H936)-G936)</f>
        <v>0.14128340507893444</v>
      </c>
      <c r="L936">
        <f>a.*kc./G.*K936</f>
        <v>0.12118367975082943</v>
      </c>
      <c r="M936">
        <f>a.*h./(L.*Cpw.)*(H936-I936)+a.*lambda.*kc./(L.*Cpw.)*K936</f>
        <v>0.67346901097573308</v>
      </c>
      <c r="N936">
        <f>a.*kc./G.*(H936-I936)</f>
        <v>0.60969415944853111</v>
      </c>
    </row>
    <row r="937" spans="5:14" x14ac:dyDescent="0.25">
      <c r="E937">
        <v>935</v>
      </c>
      <c r="F937">
        <f>dz.*E937</f>
        <v>21.259210319293512</v>
      </c>
      <c r="G937">
        <f>G936+L936*dz.</f>
        <v>4.2106501897418394</v>
      </c>
      <c r="H937">
        <f>H936+M936*dz.</f>
        <v>322.0568168036346</v>
      </c>
      <c r="I937">
        <f>I936+N936*dz.</f>
        <v>321.34454770697397</v>
      </c>
      <c r="J937">
        <f>(10^(AntA.-AntB./(AntC.+(H937-273.15)))*101325/760)</f>
        <v>11653.638607317069</v>
      </c>
      <c r="K937">
        <f>(J937/(R.*H937)-G937)</f>
        <v>0.14165187989396699</v>
      </c>
      <c r="L937">
        <f>a.*kc./G.*K937</f>
        <v>0.12149973338753364</v>
      </c>
      <c r="M937">
        <f>a.*h./(L.*Cpw.)*(H937-I937)+a.*lambda.*kc./(L.*Cpw.)*K937</f>
        <v>0.67517721133379649</v>
      </c>
      <c r="N937">
        <f>a.*kc./G.*(H937-I937)</f>
        <v>0.61093792337402131</v>
      </c>
    </row>
    <row r="938" spans="5:14" x14ac:dyDescent="0.25">
      <c r="E938">
        <v>936</v>
      </c>
      <c r="F938">
        <f>dz.*E938</f>
        <v>21.281947442629654</v>
      </c>
      <c r="G938">
        <f>G937+L937*dz.</f>
        <v>4.2134127441651801</v>
      </c>
      <c r="H938">
        <f>H937+M937*dz.</f>
        <v>322.07216839116245</v>
      </c>
      <c r="I938">
        <f>I937+N937*dz.</f>
        <v>321.35843867788844</v>
      </c>
      <c r="J938">
        <f>(10^(AntA.-AntB./(AntC.+(H938-273.15)))*101325/760)</f>
        <v>11662.585146557971</v>
      </c>
      <c r="K938">
        <f>(J938/(R.*H938)-G938)</f>
        <v>0.14202299105931804</v>
      </c>
      <c r="L938">
        <f>a.*kc./G.*K938</f>
        <v>0.12181804831340007</v>
      </c>
      <c r="M938">
        <f>a.*h./(L.*Cpw.)*(H938-I938)+a.*lambda.*kc./(L.*Cpw.)*K938</f>
        <v>0.67689765558108939</v>
      </c>
      <c r="N938">
        <f>a.*kc./G.*(H938-I938)</f>
        <v>0.61219074493374159</v>
      </c>
    </row>
    <row r="939" spans="5:14" x14ac:dyDescent="0.25">
      <c r="E939">
        <v>937</v>
      </c>
      <c r="F939">
        <f>dz.*E939</f>
        <v>21.304684565965797</v>
      </c>
      <c r="G939">
        <f>G938+L938*dz.</f>
        <v>4.2161825361542498</v>
      </c>
      <c r="H939">
        <f>H938+M938*dz.</f>
        <v>322.08755909664336</v>
      </c>
      <c r="I939">
        <f>I938+N938*dz.</f>
        <v>321.37235813436126</v>
      </c>
      <c r="J939">
        <f>(10^(AntA.-AntB./(AntC.+(H939-273.15)))*101325/760)</f>
        <v>11671.560399715901</v>
      </c>
      <c r="K939">
        <f>(J939/(R.*H939)-G939)</f>
        <v>0.14239675939315433</v>
      </c>
      <c r="L939">
        <f>a.*kc./G.*K939</f>
        <v>0.12213864238489285</v>
      </c>
      <c r="M939">
        <f>a.*h./(L.*Cpw.)*(H939-I939)+a.*lambda.*kc./(L.*Cpw.)*K939</f>
        <v>0.67863043909533938</v>
      </c>
      <c r="N939">
        <f>a.*kc./G.*(H939-I939)</f>
        <v>0.6134526862674079</v>
      </c>
    </row>
    <row r="940" spans="5:14" x14ac:dyDescent="0.25">
      <c r="E940">
        <v>938</v>
      </c>
      <c r="F940">
        <f>dz.*E940</f>
        <v>21.327421689301939</v>
      </c>
      <c r="G940">
        <f>G939+L939*dz.</f>
        <v>4.2189596175302642</v>
      </c>
      <c r="H940">
        <f>H939+M939*dz.</f>
        <v>322.10298920063673</v>
      </c>
      <c r="I940">
        <f>I939+N939*dz.</f>
        <v>321.38630628374983</v>
      </c>
      <c r="J940">
        <f>(10^(AntA.-AntB./(AntC.+(H940-273.15)))*101325/760)</f>
        <v>11680.56457896384</v>
      </c>
      <c r="K940">
        <f>(J940/(R.*H940)-G940)</f>
        <v>0.14277320594060683</v>
      </c>
      <c r="L940">
        <f>a.*kc./G.*K940</f>
        <v>0.12246153365315114</v>
      </c>
      <c r="M940">
        <f>a.*h./(L.*Cpw.)*(H940-I940)+a.*lambda.*kc./(L.*Cpw.)*K940</f>
        <v>0.68037565829002267</v>
      </c>
      <c r="N940">
        <f>a.*kc./G.*(H940-I940)</f>
        <v>0.61472381016290623</v>
      </c>
    </row>
    <row r="941" spans="5:14" x14ac:dyDescent="0.25">
      <c r="E941">
        <v>939</v>
      </c>
      <c r="F941">
        <f>dz.*E941</f>
        <v>21.350158812638082</v>
      </c>
      <c r="G941">
        <f>G940+L940*dz.</f>
        <v>4.221744040524869</v>
      </c>
      <c r="H941">
        <f>H940+M940*dz.</f>
        <v>322.11845898589416</v>
      </c>
      <c r="I941">
        <f>I940+N940*dz.</f>
        <v>321.40028333483917</v>
      </c>
      <c r="J941">
        <f>(10^(AntA.-AntB./(AntC.+(H941-273.15)))*101325/760)</f>
        <v>11689.597898355338</v>
      </c>
      <c r="K941">
        <f>(J941/(R.*H941)-G941)</f>
        <v>0.14315235197665466</v>
      </c>
      <c r="L941">
        <f>a.*kc./G.*K941</f>
        <v>0.12278674036646292</v>
      </c>
      <c r="M941">
        <f>a.*h./(L.*Cpw.)*(H941-I941)+a.*lambda.*kc./(L.*Cpw.)*K941</f>
        <v>0.68213341062744437</v>
      </c>
      <c r="N941">
        <f>a.*kc./G.*(H941-I941)</f>
        <v>0.6160041800639473</v>
      </c>
    </row>
    <row r="942" spans="5:14" x14ac:dyDescent="0.25">
      <c r="E942">
        <v>940</v>
      </c>
      <c r="F942">
        <f>dz.*E942</f>
        <v>21.372895935974224</v>
      </c>
      <c r="G942">
        <f>G941+L941*dz.</f>
        <v>4.2245358577846241</v>
      </c>
      <c r="H942">
        <f>H941+M941*dz.</f>
        <v>322.13396873738333</v>
      </c>
      <c r="I942">
        <f>I941+N941*dz.</f>
        <v>321.41428949785688</v>
      </c>
      <c r="J942">
        <f>(10^(AntA.-AntB./(AntC.+(H942-273.15)))*101325/760)</f>
        <v>11698.660573846531</v>
      </c>
      <c r="K942">
        <f>(J942/(R.*H942)-G942)</f>
        <v>0.14353421900908447</v>
      </c>
      <c r="L942">
        <f>a.*kc./G.*K942</f>
        <v>0.12311428097280321</v>
      </c>
      <c r="M942">
        <f>a.*h./(L.*Cpw.)*(H942-I942)+a.*lambda.*kc./(L.*Cpw.)*K942</f>
        <v>0.68390379463212581</v>
      </c>
      <c r="N942">
        <f>a.*kc./G.*(H942-I942)</f>
        <v>0.6172938600776724</v>
      </c>
    </row>
    <row r="943" spans="5:14" x14ac:dyDescent="0.25">
      <c r="E943">
        <v>941</v>
      </c>
      <c r="F943">
        <f>dz.*E943</f>
        <v>21.395633059310367</v>
      </c>
      <c r="G943">
        <f>G942+L942*dz.</f>
        <v>4.2273351223755435</v>
      </c>
      <c r="H943">
        <f>H942+M942*dz.</f>
        <v>322.14951874231195</v>
      </c>
      <c r="I943">
        <f>I942+N942*dz.</f>
        <v>321.42832498448814</v>
      </c>
      <c r="J943">
        <f>(10^(AntA.-AntB./(AntC.+(H943-273.15)))*101325/760)</f>
        <v>11707.752823318349</v>
      </c>
      <c r="K943">
        <f>(J943/(R.*H943)-G943)</f>
        <v>0.14391882878148454</v>
      </c>
      <c r="L943">
        <f>a.*kc./G.*K943</f>
        <v>0.12344417412240227</v>
      </c>
      <c r="M943">
        <f>a.*h./(L.*Cpw.)*(H943-I943)+a.*lambda.*kc./(L.*Cpw.)*K943</f>
        <v>0.68568690990435655</v>
      </c>
      <c r="N943">
        <f>a.*kc./G.*(H943-I943)</f>
        <v>0.61859291498240576</v>
      </c>
    </row>
    <row r="944" spans="5:14" x14ac:dyDescent="0.25">
      <c r="E944">
        <v>942</v>
      </c>
      <c r="F944">
        <f>dz.*E944</f>
        <v>21.418370182646509</v>
      </c>
      <c r="G944">
        <f>G943+L943*dz.</f>
        <v>4.2301418877876928</v>
      </c>
      <c r="H944">
        <f>H943+M943*dz.</f>
        <v>322.16510929015243</v>
      </c>
      <c r="I944">
        <f>I943+N943*dz.</f>
        <v>321.44239000789094</v>
      </c>
      <c r="J944">
        <f>(10^(AntA.-AntB./(AntC.+(H944-273.15)))*101325/760)</f>
        <v>11716.874866598933</v>
      </c>
      <c r="K944">
        <f>(J944/(R.*H944)-G944)</f>
        <v>0.1443062032762219</v>
      </c>
      <c r="L944">
        <f>a.*kc./G.*K944</f>
        <v>0.12377643867029919</v>
      </c>
      <c r="M944">
        <f>a.*h./(L.*Cpw.)*(H944-I944)+a.*lambda.*kc./(L.*Cpw.)*K944</f>
        <v>0.68748285713371038</v>
      </c>
      <c r="N944">
        <f>a.*kc./G.*(H944-I944)</f>
        <v>0.61990141023565082</v>
      </c>
    </row>
    <row r="945" spans="5:14" x14ac:dyDescent="0.25">
      <c r="E945">
        <v>943</v>
      </c>
      <c r="F945">
        <f>dz.*E945</f>
        <v>21.441107305982651</v>
      </c>
      <c r="G945">
        <f>G944+L944*dz.</f>
        <v>4.2329562079398482</v>
      </c>
      <c r="H945">
        <f>H944+M944*dz.</f>
        <v>322.18074067266656</v>
      </c>
      <c r="I945">
        <f>I944+N944*dz.</f>
        <v>321.4564847827117</v>
      </c>
      <c r="J945">
        <f>(10^(AntA.-AntB./(AntC.+(H945-273.15)))*101325/760)</f>
        <v>11726.026925486702</v>
      </c>
      <c r="K945">
        <f>(J945/(R.*H945)-G945)</f>
        <v>0.14469636471760428</v>
      </c>
      <c r="L945">
        <f>a.*kc./G.*K945</f>
        <v>0.12411109367905404</v>
      </c>
      <c r="M945">
        <f>a.*h./(L.*Cpw.)*(H945-I945)+a.*lambda.*kc./(L.*Cpw.)*K945</f>
        <v>0.68929173811331035</v>
      </c>
      <c r="N945">
        <f>a.*kc./G.*(H945-I945)</f>
        <v>0.62121941198193986</v>
      </c>
    </row>
    <row r="946" spans="5:14" x14ac:dyDescent="0.25">
      <c r="E946">
        <v>944</v>
      </c>
      <c r="F946">
        <f>dz.*E946</f>
        <v>21.463844429318797</v>
      </c>
      <c r="G946">
        <f>G945+L945*dz.</f>
        <v>4.2357781371842123</v>
      </c>
      <c r="H946">
        <f>H945+M945*dz.</f>
        <v>322.19641318393064</v>
      </c>
      <c r="I946">
        <f>I945+N945*dz.</f>
        <v>321.47060952510071</v>
      </c>
      <c r="J946">
        <f>(10^(AntA.-AntB./(AntC.+(H946-273.15)))*101325/760)</f>
        <v>11735.209223773258</v>
      </c>
      <c r="K946">
        <f>(J946/(R.*H946)-G946)</f>
        <v>0.14508933557490789</v>
      </c>
      <c r="L946">
        <f>a.*kc./G.*K946</f>
        <v>0.12444815842134478</v>
      </c>
      <c r="M946">
        <f>a.*h./(L.*Cpw.)*(H946-I946)+a.*lambda.*kc./(L.*Cpw.)*K946</f>
        <v>0.69111365575359573</v>
      </c>
      <c r="N946">
        <f>a.*kc./G.*(H946-I946)</f>
        <v>0.62254698706112255</v>
      </c>
    </row>
    <row r="947" spans="5:14" x14ac:dyDescent="0.25">
      <c r="E947">
        <v>945</v>
      </c>
      <c r="F947">
        <f>dz.*E947</f>
        <v>21.48658155265494</v>
      </c>
      <c r="G947">
        <f>G946+L946*dz.</f>
        <v>4.2386077303111946</v>
      </c>
      <c r="H947">
        <f>H946+M946*dz.</f>
        <v>322.21212712036083</v>
      </c>
      <c r="I947">
        <f>I946+N946*dz.</f>
        <v>321.48476445272809</v>
      </c>
      <c r="J947">
        <f>(10^(AntA.-AntB./(AntC.+(H947-273.15)))*101325/760)</f>
        <v>11744.421987267098</v>
      </c>
      <c r="K947">
        <f>(J947/(R.*H947)-G947)</f>
        <v>0.14548513856563172</v>
      </c>
      <c r="L947">
        <f>a.*kc./G.*K947</f>
        <v>0.12478765238275871</v>
      </c>
      <c r="M947">
        <f>a.*h./(L.*Cpw.)*(H947-I947)+a.*lambda.*kc./(L.*Cpw.)*K947</f>
        <v>0.69294871409699976</v>
      </c>
      <c r="N947">
        <f>a.*kc./G.*(H947-I947)</f>
        <v>0.62388420301641101</v>
      </c>
    </row>
    <row r="948" spans="5:14" x14ac:dyDescent="0.25">
      <c r="E948">
        <v>946</v>
      </c>
      <c r="F948">
        <f>dz.*E948</f>
        <v>21.509318675991082</v>
      </c>
      <c r="G948">
        <f>G947+L947*dz.</f>
        <v>4.2414450425542487</v>
      </c>
      <c r="H948">
        <f>H947+M947*dz.</f>
        <v>322.22788278073887</v>
      </c>
      <c r="I948">
        <f>I947+N947*dz.</f>
        <v>321.49894978479955</v>
      </c>
      <c r="J948">
        <f>(10^(AntA.-AntB./(AntC.+(H948-273.15)))*101325/760)</f>
        <v>11753.665443817237</v>
      </c>
      <c r="K948">
        <f>(J948/(R.*H948)-G948)</f>
        <v>0.14588379665864881</v>
      </c>
      <c r="L948">
        <f>a.*kc./G.*K948</f>
        <v>0.12512959526449538</v>
      </c>
      <c r="M948">
        <f>a.*h./(L.*Cpw.)*(H948-I948)+a.*lambda.*kc./(L.*Cpw.)*K948</f>
        <v>0.69479701833226448</v>
      </c>
      <c r="N948">
        <f>a.*kc./G.*(H948-I948)</f>
        <v>0.62523112810291193</v>
      </c>
    </row>
    <row r="949" spans="5:14" x14ac:dyDescent="0.25">
      <c r="E949">
        <v>947</v>
      </c>
      <c r="F949">
        <f>dz.*E949</f>
        <v>21.532055799327225</v>
      </c>
      <c r="G949">
        <f>G948+L948*dz.</f>
        <v>4.2442901295947788</v>
      </c>
      <c r="H949">
        <f>H948+M948*dz.</f>
        <v>322.24368046623829</v>
      </c>
      <c r="I949">
        <f>I948+N948*dz.</f>
        <v>321.51316574207283</v>
      </c>
      <c r="J949">
        <f>(10^(AntA.-AntB./(AntC.+(H949-273.15)))*101325/760)</f>
        <v>11762.939823337554</v>
      </c>
      <c r="K949">
        <f>(J949/(R.*H949)-G949)</f>
        <v>0.14628533307753955</v>
      </c>
      <c r="L949">
        <f>a.*kc./G.*K949</f>
        <v>0.12547400698622566</v>
      </c>
      <c r="M949">
        <f>a.*h./(L.*Cpw.)*(H949-I949)+a.*lambda.*kc./(L.*Cpw.)*K949</f>
        <v>0.69665867480950194</v>
      </c>
      <c r="N949">
        <f>a.*kc./G.*(H949-I949)</f>
        <v>0.62658783129606188</v>
      </c>
    </row>
    <row r="950" spans="5:14" x14ac:dyDescent="0.25">
      <c r="E950">
        <v>948</v>
      </c>
      <c r="F950">
        <f>dz.*E950</f>
        <v>21.554792922663367</v>
      </c>
      <c r="G950">
        <f>G949+L949*dz.</f>
        <v>4.2471430475671044</v>
      </c>
      <c r="H950">
        <f>H949+M949*dz.</f>
        <v>322.25952048045065</v>
      </c>
      <c r="I950">
        <f>I949+N949*dz.</f>
        <v>321.52741254687396</v>
      </c>
      <c r="J950">
        <f>(10^(AntA.-AntB./(AntC.+(H950-273.15)))*101325/760)</f>
        <v>11772.245357831127</v>
      </c>
      <c r="K950">
        <f>(J950/(R.*H950)-G950)</f>
        <v>0.14668977130386818</v>
      </c>
      <c r="L950">
        <f>a.*kc./G.*K950</f>
        <v>0.12582090768890208</v>
      </c>
      <c r="M950">
        <f>a.*h./(L.*Cpw.)*(H950-I950)+a.*lambda.*kc./(L.*Cpw.)*K950</f>
        <v>0.69853379105502444</v>
      </c>
      <c r="N950">
        <f>a.*kc./G.*(H950-I950)</f>
        <v>0.62795438230011025</v>
      </c>
    </row>
    <row r="951" spans="5:14" x14ac:dyDescent="0.25">
      <c r="E951">
        <v>949</v>
      </c>
      <c r="F951">
        <f>dz.*E951</f>
        <v>21.577530045999509</v>
      </c>
      <c r="G951">
        <f>G950+L950*dz.</f>
        <v>4.2500038530634923</v>
      </c>
      <c r="H951">
        <f>H950+M950*dz.</f>
        <v>322.27540312941233</v>
      </c>
      <c r="I951">
        <f>I950+N950*dz.</f>
        <v>321.54169042311378</v>
      </c>
      <c r="J951">
        <f>(10^(AntA.-AntB./(AntC.+(H951-273.15)))*101325/760)</f>
        <v>11781.582281415109</v>
      </c>
      <c r="K951">
        <f>(J951/(R.*H951)-G951)</f>
        <v>0.14709713508055522</v>
      </c>
      <c r="L951">
        <f>a.*kc./G.*K951</f>
        <v>0.12617031773765161</v>
      </c>
      <c r="M951">
        <f>a.*h./(L.*Cpw.)*(H951-I951)+a.*lambda.*kc./(L.*Cpw.)*K951</f>
        <v>0.70042247578662908</v>
      </c>
      <c r="N951">
        <f>a.*kc./G.*(H951-I951)</f>
        <v>0.62933085155699398</v>
      </c>
    </row>
    <row r="952" spans="5:14" x14ac:dyDescent="0.25">
      <c r="E952">
        <v>950</v>
      </c>
      <c r="F952">
        <f>dz.*E952</f>
        <v>21.600267169335652</v>
      </c>
      <c r="G952">
        <f>G951+L951*dz.</f>
        <v>4.2528726031392532</v>
      </c>
      <c r="H952">
        <f>H951+M951*dz.</f>
        <v>322.29132872163171</v>
      </c>
      <c r="I952">
        <f>I951+N951*dz.</f>
        <v>321.55599959630484</v>
      </c>
      <c r="J952">
        <f>(10^(AntA.-AntB./(AntC.+(H952-273.15)))*101325/760)</f>
        <v>11790.950830345973</v>
      </c>
      <c r="K952">
        <f>(J952/(R.*H952)-G952)</f>
        <v>0.14750744841533603</v>
      </c>
      <c r="L952">
        <f>a.*kc./G.*K952</f>
        <v>0.12652225772474204</v>
      </c>
      <c r="M952">
        <f>a.*h./(L.*Cpw.)*(H952-I952)+a.*lambda.*kc./(L.*Cpw.)*K952</f>
        <v>0.70232483892922759</v>
      </c>
      <c r="N952">
        <f>a.*kc./G.*(H952-I952)</f>
        <v>0.63071731025511246</v>
      </c>
    </row>
    <row r="953" spans="5:14" x14ac:dyDescent="0.25">
      <c r="E953">
        <v>951</v>
      </c>
      <c r="F953">
        <f>dz.*E953</f>
        <v>21.623004292671794</v>
      </c>
      <c r="G953">
        <f>G952+L952*dz.</f>
        <v>4.2557493553179082</v>
      </c>
      <c r="H953">
        <f>H952+M952*dz.</f>
        <v>322.3072975681165</v>
      </c>
      <c r="I953">
        <f>I952+N952*dz.</f>
        <v>321.57034029357834</v>
      </c>
      <c r="J953">
        <f>(10^(AntA.-AntB./(AntC.+(H953-273.15)))*101325/760)</f>
        <v>11800.351243044995</v>
      </c>
      <c r="K953">
        <f>(J953/(R.*H953)-G953)</f>
        <v>0.14792073558420338</v>
      </c>
      <c r="L953">
        <f>a.*kc./G.*K953</f>
        <v>0.12687674847253488</v>
      </c>
      <c r="M953">
        <f>a.*h./(L.*Cpw.)*(H953-I953)+a.*lambda.*kc./(L.*Cpw.)*K953</f>
        <v>0.70424099163042986</v>
      </c>
      <c r="N953">
        <f>a.*kc./G.*(H953-I953)</f>
        <v>0.63211383033825119</v>
      </c>
    </row>
    <row r="954" spans="5:14" x14ac:dyDescent="0.25">
      <c r="E954">
        <v>952</v>
      </c>
      <c r="F954">
        <f>dz.*E954</f>
        <v>21.645741416007937</v>
      </c>
      <c r="G954">
        <f>G953+L953*dz.</f>
        <v>4.2586341675964174</v>
      </c>
      <c r="H954">
        <f>H953+M953*dz.</f>
        <v>322.32330998240155</v>
      </c>
      <c r="I954">
        <f>I953+N953*dz.</f>
        <v>321.58471274370123</v>
      </c>
      <c r="J954">
        <f>(10^(AntA.-AntB./(AntC.+(H954-273.15)))*101325/760)</f>
        <v>11809.783760124177</v>
      </c>
      <c r="K954">
        <f>(J954/(R.*H954)-G954)</f>
        <v>0.14833702113495573</v>
      </c>
      <c r="L954">
        <f>a.*kc./G.*K954</f>
        <v>0.12723381103652875</v>
      </c>
      <c r="M954">
        <f>a.*h./(L.*Cpw.)*(H954-I954)+a.*lambda.*kc./(L.*Cpw.)*K954</f>
        <v>0.70617104627660876</v>
      </c>
      <c r="N954">
        <f>a.*kc./G.*(H954-I954)</f>
        <v>0.63352048451479614</v>
      </c>
    </row>
    <row r="955" spans="5:14" x14ac:dyDescent="0.25">
      <c r="E955">
        <v>953</v>
      </c>
      <c r="F955">
        <f>dz.*E955</f>
        <v>21.668478539344083</v>
      </c>
      <c r="G955">
        <f>G954+L954*dz.</f>
        <v>4.2615270984504825</v>
      </c>
      <c r="H955">
        <f>H954+M954*dz.</f>
        <v>322.33936628057717</v>
      </c>
      <c r="I955">
        <f>I954+N954*dz.</f>
        <v>321.5991171770936</v>
      </c>
      <c r="J955">
        <f>(10^(AntA.-AntB./(AntC.+(H955-273.15)))*101325/760)</f>
        <v>11819.248624412608</v>
      </c>
      <c r="K955">
        <f>(J955/(R.*H955)-G955)</f>
        <v>0.14875632989080767</v>
      </c>
      <c r="L955">
        <f>a.*kc./G.*K955</f>
        <v>0.12759346670845634</v>
      </c>
      <c r="M955">
        <f>a.*h./(L.*Cpw.)*(H955-I955)+a.*lambda.*kc./(L.*Cpw.)*K955</f>
        <v>0.70811511650923686</v>
      </c>
      <c r="N955">
        <f>a.*kc./G.*(H955-I955)</f>
        <v>0.63493734626704612</v>
      </c>
    </row>
    <row r="956" spans="5:14" x14ac:dyDescent="0.25">
      <c r="E956">
        <v>954</v>
      </c>
      <c r="F956">
        <f>dz.*E956</f>
        <v>21.691215662680225</v>
      </c>
      <c r="G956">
        <f>G955+L955*dz.</f>
        <v>4.2644282068399191</v>
      </c>
      <c r="H956">
        <f>H955+M955*dz.</f>
        <v>322.35546678131743</v>
      </c>
      <c r="I956">
        <f>I955+N955*dz.</f>
        <v>321.6135538258464</v>
      </c>
      <c r="J956">
        <f>(10^(AntA.-AntB./(AntC.+(H956-273.15)))*101325/760)</f>
        <v>11828.746080982943</v>
      </c>
      <c r="K956">
        <f>(J956/(R.*H956)-G956)</f>
        <v>0.14917868695397019</v>
      </c>
      <c r="L956">
        <f>a.*kc./G.*K956</f>
        <v>0.12795573701935514</v>
      </c>
      <c r="M956">
        <f>a.*h./(L.*Cpw.)*(H956-I956)+a.*lambda.*kc./(L.*Cpw.)*K956</f>
        <v>0.71007331724107792</v>
      </c>
      <c r="N956">
        <f>a.*kc./G.*(H956-I956)</f>
        <v>0.63636448986037963</v>
      </c>
    </row>
    <row r="957" spans="5:14" x14ac:dyDescent="0.25">
      <c r="E957">
        <v>955</v>
      </c>
      <c r="F957">
        <f>dz.*E957</f>
        <v>21.713952786016367</v>
      </c>
      <c r="G957">
        <f>G956+L956*dz.</f>
        <v>4.2673375522140953</v>
      </c>
      <c r="H957">
        <f>H956+M956*dz.</f>
        <v>322.37161180590925</v>
      </c>
      <c r="I957">
        <f>I956+N956*dz.</f>
        <v>321.62802292373908</v>
      </c>
      <c r="J957">
        <f>(10^(AntA.-AntB./(AntC.+(H957-273.15)))*101325/760)</f>
        <v>11838.276377178589</v>
      </c>
      <c r="K957">
        <f>(J957/(R.*H957)-G957)</f>
        <v>0.14960411770941295</v>
      </c>
      <c r="L957">
        <f>a.*kc./G.*K957</f>
        <v>0.12832064374279464</v>
      </c>
      <c r="M957">
        <f>a.*h./(L.*Cpw.)*(H957-I957)+a.*lambda.*kc./(L.*Cpw.)*K957</f>
        <v>0.71204576467321079</v>
      </c>
      <c r="N957">
        <f>a.*kc./G.*(H957-I957)</f>
        <v>0.63780199035295659</v>
      </c>
    </row>
    <row r="958" spans="5:14" x14ac:dyDescent="0.25">
      <c r="E958">
        <v>956</v>
      </c>
      <c r="F958">
        <f>dz.*E958</f>
        <v>21.73668990935251</v>
      </c>
      <c r="G958">
        <f>G957+L957*dz.</f>
        <v>4.2702551945174481</v>
      </c>
      <c r="H958">
        <f>H957+M957*dz.</f>
        <v>322.38780167828162</v>
      </c>
      <c r="I958">
        <f>I957+N957*dz.</f>
        <v>321.64252470625775</v>
      </c>
      <c r="J958">
        <f>(10^(AntA.-AntB./(AntC.+(H958-273.15)))*101325/760)</f>
        <v>11847.839762641104</v>
      </c>
      <c r="K958">
        <f>(J958/(R.*H958)-G958)</f>
        <v>0.15003264782860981</v>
      </c>
      <c r="L958">
        <f>a.*kc./G.*K958</f>
        <v>0.12868820889808888</v>
      </c>
      <c r="M958">
        <f>a.*h./(L.*Cpw.)*(H958-I958)+a.*lambda.*kc./(L.*Cpw.)*K958</f>
        <v>0.7140325763119697</v>
      </c>
      <c r="N958">
        <f>a.*kc./G.*(H958-I958)</f>
        <v>0.6392499236053244</v>
      </c>
    </row>
    <row r="959" spans="5:14" x14ac:dyDescent="0.25">
      <c r="E959">
        <v>957</v>
      </c>
      <c r="F959">
        <f>dz.*E959</f>
        <v>21.759427032688652</v>
      </c>
      <c r="G959">
        <f>G958+L958*dz.</f>
        <v>4.2731811941950708</v>
      </c>
      <c r="H959">
        <f>H958+M958*dz.</f>
        <v>322.40403672503527</v>
      </c>
      <c r="I959">
        <f>I958+N958*dz.</f>
        <v>321.65705941061339</v>
      </c>
      <c r="J959">
        <f>(10^(AntA.-AntB./(AntC.+(H959-273.15)))*101325/760)</f>
        <v>11857.436489337955</v>
      </c>
      <c r="K959">
        <f>(J959/(R.*H959)-G959)</f>
        <v>0.15046430327332949</v>
      </c>
      <c r="L959">
        <f>a.*kc./G.*K959</f>
        <v>0.12905845475354788</v>
      </c>
      <c r="M959">
        <f>a.*h./(L.*Cpw.)*(H959-I959)+a.*lambda.*kc./(L.*Cpw.)*K959</f>
        <v>0.71603387098609372</v>
      </c>
      <c r="N959">
        <f>a.*kc./G.*(H959-I959)</f>
        <v>0.64070836629016825</v>
      </c>
    </row>
    <row r="960" spans="5:14" x14ac:dyDescent="0.25">
      <c r="E960">
        <v>958</v>
      </c>
      <c r="F960">
        <f>dz.*E960</f>
        <v>21.782164156024795</v>
      </c>
      <c r="G960">
        <f>G959+L959*dz.</f>
        <v>4.2761156121983745</v>
      </c>
      <c r="H960">
        <f>H959+M959*dz.</f>
        <v>322.42031727547271</v>
      </c>
      <c r="I960">
        <f>I959+N959*dz.</f>
        <v>321.67162727576022</v>
      </c>
      <c r="J960">
        <f>(10^(AntA.-AntB./(AntC.+(H960-273.15)))*101325/760)</f>
        <v>11867.06681159081</v>
      </c>
      <c r="K960">
        <f>(J960/(R.*H960)-G960)</f>
        <v>0.15089911029955339</v>
      </c>
      <c r="L960">
        <f>a.*kc./G.*K960</f>
        <v>0.12943140382983812</v>
      </c>
      <c r="M960">
        <f>a.*h./(L.*Cpw.)*(H960-I960)+a.*lambda.*kc./(L.*Cpw.)*K960</f>
        <v>0.71804976886444627</v>
      </c>
      <c r="N960">
        <f>a.*kc./G.*(H960-I960)</f>
        <v>0.64217739590235556</v>
      </c>
    </row>
    <row r="961" spans="5:14" x14ac:dyDescent="0.25">
      <c r="E961">
        <v>959</v>
      </c>
      <c r="F961">
        <f>dz.*E961</f>
        <v>21.804901279360937</v>
      </c>
      <c r="G961">
        <f>G960+L960*dz.</f>
        <v>4.2790585099908238</v>
      </c>
      <c r="H961">
        <f>H960+M960*dz.</f>
        <v>322.43664366162886</v>
      </c>
      <c r="I961">
        <f>I960+N960*dz.</f>
        <v>321.68622854241454</v>
      </c>
      <c r="J961">
        <f>(10^(AntA.-AntB./(AntC.+(H961-273.15)))*101325/760)</f>
        <v>11876.730986104105</v>
      </c>
      <c r="K961">
        <f>(J961/(R.*H961)-G961)</f>
        <v>0.15133709546138441</v>
      </c>
      <c r="L961">
        <f>a.*kc./G.*K961</f>
        <v>0.12980707890333518</v>
      </c>
      <c r="M961">
        <f>a.*h./(L.*Cpw.)*(H961-I961)+a.*lambda.*kc./(L.*Cpw.)*K961</f>
        <v>0.72008039147370362</v>
      </c>
      <c r="N961">
        <f>a.*kc./G.*(H961-I961)</f>
        <v>0.64365709076902855</v>
      </c>
    </row>
    <row r="962" spans="5:14" x14ac:dyDescent="0.25">
      <c r="E962">
        <v>960</v>
      </c>
      <c r="F962">
        <f>dz.*E962</f>
        <v>21.82763840269708</v>
      </c>
      <c r="G962">
        <f>G961+L961*dz.</f>
        <v>4.2820099495537534</v>
      </c>
      <c r="H962">
        <f>H961+M961*dz.</f>
        <v>322.45301621830174</v>
      </c>
      <c r="I962">
        <f>I961+N961*dz.</f>
        <v>321.70086345307357</v>
      </c>
      <c r="J962">
        <f>(10^(AntA.-AntB./(AntC.+(H962-273.15)))*101325/760)</f>
        <v>11886.429271994173</v>
      </c>
      <c r="K962">
        <f>(J962/(R.*H962)-G962)</f>
        <v>0.15177828561508377</v>
      </c>
      <c r="L962">
        <f>a.*kc./G.*K962</f>
        <v>0.1301855030095864</v>
      </c>
      <c r="M962">
        <f>a.*h./(L.*Cpw.)*(H962-I962)+a.*lambda.*kc./(L.*Cpw.)*K962</f>
        <v>0.72212586171659032</v>
      </c>
      <c r="N962">
        <f>a.*kc./G.*(H962-I962)</f>
        <v>0.64514753005979408</v>
      </c>
    </row>
    <row r="963" spans="5:14" x14ac:dyDescent="0.25">
      <c r="E963">
        <v>961</v>
      </c>
      <c r="F963">
        <f>dz.*E963</f>
        <v>21.850375526033222</v>
      </c>
      <c r="G963">
        <f>G962+L962*dz.</f>
        <v>4.2849699933922603</v>
      </c>
      <c r="H963">
        <f>H962+M962*dz.</f>
        <v>322.46943528308378</v>
      </c>
      <c r="I963">
        <f>I962+N962*dz.</f>
        <v>321.71553225203456</v>
      </c>
      <c r="J963">
        <f>(10^(AntA.-AntB./(AntC.+(H963-273.15)))*101325/760)</f>
        <v>11896.1619308186</v>
      </c>
      <c r="K963">
        <f>(J963/(R.*H963)-G963)</f>
        <v>0.15222270792310244</v>
      </c>
      <c r="L963">
        <f>a.*kc./G.*K963</f>
        <v>0.13056669944676857</v>
      </c>
      <c r="M963">
        <f>a.*h./(L.*Cpw.)*(H963-I963)+a.*lambda.*kc./(L.*Cpw.)*K963</f>
        <v>0.72418630389012695</v>
      </c>
      <c r="N963">
        <f>a.*kc./G.*(H963-I963)</f>
        <v>0.64664879379715801</v>
      </c>
    </row>
    <row r="964" spans="5:14" x14ac:dyDescent="0.25">
      <c r="E964">
        <v>962</v>
      </c>
      <c r="F964">
        <f>dz.*E964</f>
        <v>21.873112649369364</v>
      </c>
      <c r="G964">
        <f>G963+L963*dz.</f>
        <v>4.2879387045411743</v>
      </c>
      <c r="H964">
        <f>H963+M963*dz.</f>
        <v>322.48590119639368</v>
      </c>
      <c r="I964">
        <f>I963+N963*dz.</f>
        <v>321.7302351854143</v>
      </c>
      <c r="J964">
        <f>(10^(AntA.-AntB./(AntC.+(H964-273.15)))*101325/760)</f>
        <v>11905.929226606244</v>
      </c>
      <c r="K964">
        <f>(J964/(R.*H964)-G964)</f>
        <v>0.15267038985824843</v>
      </c>
      <c r="L964">
        <f>a.*kc./G.*K964</f>
        <v>0.13095069177926266</v>
      </c>
      <c r="M964">
        <f>a.*h./(L.*Cpw.)*(H964-I964)+a.*lambda.*kc./(L.*Cpw.)*K964</f>
        <v>0.72626184370446933</v>
      </c>
      <c r="N964">
        <f>a.*kc./G.*(H964-I964)</f>
        <v>0.64816096286715352</v>
      </c>
    </row>
    <row r="965" spans="5:14" x14ac:dyDescent="0.25">
      <c r="E965">
        <v>963</v>
      </c>
      <c r="F965">
        <f>dz.*E965</f>
        <v>21.89584977270551</v>
      </c>
      <c r="G965">
        <f>G964+L964*dz.</f>
        <v>4.2909161465711128</v>
      </c>
      <c r="H965">
        <f>H964+M964*dz.</f>
        <v>322.50241430150834</v>
      </c>
      <c r="I965">
        <f>I964+N964*dz.</f>
        <v>321.74497250116866</v>
      </c>
      <c r="J965">
        <f>(10^(AntA.-AntB./(AntC.+(H965-273.15)))*101325/760)</f>
        <v>11915.731425887483</v>
      </c>
      <c r="K965">
        <f>(J965/(R.*H965)-G965)</f>
        <v>0.15312135920786485</v>
      </c>
      <c r="L965">
        <f>a.*kc./G.*K965</f>
        <v>0.1313375038412371</v>
      </c>
      <c r="M965">
        <f>a.*h./(L.*Cpw.)*(H965-I965)+a.*lambda.*kc./(L.*Cpw.)*K965</f>
        <v>0.72835260830178794</v>
      </c>
      <c r="N965">
        <f>a.*kc./G.*(H965-I965)</f>
        <v>0.64968411902992196</v>
      </c>
    </row>
    <row r="966" spans="5:14" x14ac:dyDescent="0.25">
      <c r="E966">
        <v>964</v>
      </c>
      <c r="F966">
        <f>dz.*E966</f>
        <v>21.918586896041653</v>
      </c>
      <c r="G966">
        <f>G965+L965*dz.</f>
        <v>4.2939023835946122</v>
      </c>
      <c r="H966">
        <f>H965+M965*dz.</f>
        <v>322.51897494459547</v>
      </c>
      <c r="I966">
        <f>I965+N965*dz.</f>
        <v>321.75974444911259</v>
      </c>
      <c r="J966">
        <f>(10^(AntA.-AntB./(AntC.+(H966-273.15)))*101325/760)</f>
        <v>11925.568797724984</v>
      </c>
      <c r="K966">
        <f>(J966/(R.*H966)-G966)</f>
        <v>0.15357564407808244</v>
      </c>
      <c r="L966">
        <f>a.*kc./G.*K966</f>
        <v>0.13172715974029572</v>
      </c>
      <c r="M966">
        <f>a.*h./(L.*Cpw.)*(H966-I966)+a.*lambda.*kc./(L.*Cpw.)*K966</f>
        <v>0.73045872627549624</v>
      </c>
      <c r="N966">
        <f>a.*kc./G.*(H966-I966)</f>
        <v>0.65121834493058517</v>
      </c>
    </row>
    <row r="967" spans="5:14" x14ac:dyDescent="0.25">
      <c r="E967">
        <v>965</v>
      </c>
      <c r="F967">
        <f>dz.*E967</f>
        <v>21.941324019377795</v>
      </c>
      <c r="G967">
        <f>G966+L966*dz.</f>
        <v>4.2968974802723467</v>
      </c>
      <c r="H967">
        <f>H966+M966*dz.</f>
        <v>322.53558347474677</v>
      </c>
      <c r="I967">
        <f>I966+N966*dz.</f>
        <v>321.77455128094005</v>
      </c>
      <c r="J967">
        <f>(10^(AntA.-AntB./(AntC.+(H967-273.15)))*101325/760)</f>
        <v>11935.441613745041</v>
      </c>
      <c r="K967">
        <f>(J967/(R.*H967)-G967)</f>
        <v>0.15403327289820279</v>
      </c>
      <c r="L967">
        <f>a.*kc./G.*K967</f>
        <v>0.13211968386123712</v>
      </c>
      <c r="M967">
        <f>a.*h./(L.*Cpw.)*(H967-I967)+a.*lambda.*kc./(L.*Cpw.)*K967</f>
        <v>0.73258032769008552</v>
      </c>
      <c r="N967">
        <f>a.*kc./G.*(H967-I967)</f>
        <v>0.65276372411055672</v>
      </c>
    </row>
    <row r="968" spans="5:14" x14ac:dyDescent="0.25">
      <c r="E968">
        <v>966</v>
      </c>
      <c r="F968">
        <f>dz.*E968</f>
        <v>21.964061142713938</v>
      </c>
      <c r="G968">
        <f>G967+L967*dz.</f>
        <v>4.2999015018194315</v>
      </c>
      <c r="H968">
        <f>H967+M967*dz.</f>
        <v>322.5522402440111</v>
      </c>
      <c r="I968">
        <f>I967+N967*dz.</f>
        <v>321.78939325024453</v>
      </c>
      <c r="J968">
        <f>(10^(AntA.-AntB./(AntC.+(H968-273.15)))*101325/760)</f>
        <v>11945.350148169142</v>
      </c>
      <c r="K968">
        <f>(J968/(R.*H968)-G968)</f>
        <v>0.15449427442505126</v>
      </c>
      <c r="L968">
        <f>a.*kc./G.*K968</f>
        <v>0.13251510086978838</v>
      </c>
      <c r="M968">
        <f>a.*h./(L.*Cpw.)*(H968-I968)+a.*lambda.*kc./(L.*Cpw.)*K968</f>
        <v>0.73471754410077295</v>
      </c>
      <c r="N968">
        <f>a.*kc./G.*(H968-I968)</f>
        <v>0.65432034101841552</v>
      </c>
    </row>
    <row r="969" spans="5:14" x14ac:dyDescent="0.25">
      <c r="E969">
        <v>967</v>
      </c>
      <c r="F969">
        <f>dz.*E969</f>
        <v>21.98679826605008</v>
      </c>
      <c r="G969">
        <f>G968+L968*dz.</f>
        <v>4.3029145140118095</v>
      </c>
      <c r="H969">
        <f>H968+M968*dz.</f>
        <v>322.56894560742853</v>
      </c>
      <c r="I969">
        <f>I968+N968*dz.</f>
        <v>321.8042706125396</v>
      </c>
      <c r="J969">
        <f>(10^(AntA.-AntB./(AntC.+(H969-273.15)))*101325/760)</f>
        <v>11955.29467784619</v>
      </c>
      <c r="K969">
        <f>(J969/(R.*H969)-G969)</f>
        <v>0.1549586777474774</v>
      </c>
      <c r="L969">
        <f>a.*kc./G.*K969</f>
        <v>0.1329134357164653</v>
      </c>
      <c r="M969">
        <f>a.*h./(L.*Cpw.)*(H969-I969)+a.*lambda.*kc./(L.*Cpw.)*K969</f>
        <v>0.73687050857386494</v>
      </c>
      <c r="N969">
        <f>a.*kc./G.*(H969-I969)</f>
        <v>0.65588828102150898</v>
      </c>
    </row>
    <row r="970" spans="5:14" x14ac:dyDescent="0.25">
      <c r="E970">
        <v>968</v>
      </c>
      <c r="F970">
        <f>dz.*E970</f>
        <v>22.009535389386222</v>
      </c>
      <c r="G970">
        <f>G969+L969*dz.</f>
        <v>4.3059365831927252</v>
      </c>
      <c r="H970">
        <f>H969+M969*dz.</f>
        <v>322.58569992306474</v>
      </c>
      <c r="I970">
        <f>I969+N969*dz.</f>
        <v>321.81918362527989</v>
      </c>
      <c r="J970">
        <f>(10^(AntA.-AntB./(AntC.+(H970-273.15)))*101325/760)</f>
        <v>11965.275482285166</v>
      </c>
      <c r="K970">
        <f>(J970/(R.*H970)-G970)</f>
        <v>0.15542651229091486</v>
      </c>
      <c r="L970">
        <f>a.*kc./G.*K970</f>
        <v>0.13331471364048353</v>
      </c>
      <c r="M970">
        <f>a.*h./(L.*Cpw.)*(H970-I970)+a.*lambda.*kc./(L.*Cpw.)*K970</f>
        <v>0.73903935570734791</v>
      </c>
      <c r="N970">
        <f>a.*kc./G.*(H970-I970)</f>
        <v>0.6574676304174113</v>
      </c>
    </row>
    <row r="971" spans="5:14" x14ac:dyDescent="0.25">
      <c r="E971">
        <v>969</v>
      </c>
      <c r="F971">
        <f>dz.*E971</f>
        <v>22.032272512722365</v>
      </c>
      <c r="G971">
        <f>G970+L970*dz.</f>
        <v>4.3089677762792915</v>
      </c>
      <c r="H971">
        <f>H970+M970*dz.</f>
        <v>322.60250355204573</v>
      </c>
      <c r="I971">
        <f>I970+N970*dz.</f>
        <v>321.83413254788223</v>
      </c>
      <c r="J971">
        <f>(10^(AntA.-AntB./(AntC.+(H971-273.15)))*101325/760)</f>
        <v>11975.292843688194</v>
      </c>
      <c r="K971">
        <f>(J971/(R.*H971)-G971)</f>
        <v>0.15589780782198126</v>
      </c>
      <c r="L971">
        <f>a.*kc./G.*K971</f>
        <v>0.13371896017370402</v>
      </c>
      <c r="M971">
        <f>a.*h./(L.*Cpw.)*(H971-I971)+a.*lambda.*kc./(L.*Cpw.)*K971</f>
        <v>0.74122422165168056</v>
      </c>
      <c r="N971">
        <f>a.*kc./G.*(H971-I971)</f>
        <v>0.65905847644562476</v>
      </c>
    </row>
    <row r="972" spans="5:14" x14ac:dyDescent="0.25">
      <c r="E972">
        <v>970</v>
      </c>
      <c r="F972">
        <f>dz.*E972</f>
        <v>22.055009636058507</v>
      </c>
      <c r="G972">
        <f>G971+L971*dz.</f>
        <v>4.3120081607691416</v>
      </c>
      <c r="H972">
        <f>H971+M971*dz.</f>
        <v>322.61935685859316</v>
      </c>
      <c r="I972">
        <f>I971+N971*dz.</f>
        <v>321.84911764174689</v>
      </c>
      <c r="J972">
        <f>(10^(AntA.-AntB./(AntC.+(H972-273.15)))*101325/760)</f>
        <v>11985.347046984169</v>
      </c>
      <c r="K972">
        <f>(J972/(R.*H972)-G972)</f>
        <v>0.15637259445318641</v>
      </c>
      <c r="L972">
        <f>a.*kc./G.*K972</f>
        <v>0.13412620114467153</v>
      </c>
      <c r="M972">
        <f>a.*h./(L.*Cpw.)*(H972-I972)+a.*lambda.*kc./(L.*Cpw.)*K972</f>
        <v>0.74342524413108424</v>
      </c>
      <c r="N972">
        <f>a.*kc./G.*(H972-I972)</f>
        <v>0.66066090729962312</v>
      </c>
    </row>
    <row r="973" spans="5:14" x14ac:dyDescent="0.25">
      <c r="E973">
        <v>971</v>
      </c>
      <c r="F973">
        <f>dz.*E973</f>
        <v>22.07774675939465</v>
      </c>
      <c r="G973">
        <f>G972+L972*dz.</f>
        <v>4.3150578047471759</v>
      </c>
      <c r="H973">
        <f>H972+M972*dz.</f>
        <v>322.63626021006019</v>
      </c>
      <c r="I973">
        <f>I972+N972*dz.</f>
        <v>321.86413917027954</v>
      </c>
      <c r="J973">
        <f>(10^(AntA.-AntB./(AntC.+(H973-273.15)))*101325/760)</f>
        <v>11995.438379862859</v>
      </c>
      <c r="K973">
        <f>(J973/(R.*H973)-G973)</f>
        <v>0.15685090264769652</v>
      </c>
      <c r="L973">
        <f>a.*kc./G.*K973</f>
        <v>0.13453646268270092</v>
      </c>
      <c r="M973">
        <f>a.*h./(L.*Cpw.)*(H973-I973)+a.*lambda.*kc./(L.*Cpw.)*K973</f>
        <v>0.7456425624650459</v>
      </c>
      <c r="N973">
        <f>a.*kc./G.*(H973-I973)</f>
        <v>0.6622750121387474</v>
      </c>
    </row>
    <row r="974" spans="5:14" x14ac:dyDescent="0.25">
      <c r="E974">
        <v>972</v>
      </c>
      <c r="F974">
        <f>dz.*E974</f>
        <v>22.100483882730796</v>
      </c>
      <c r="G974">
        <f>G973+L973*dz.</f>
        <v>4.3181167768924009</v>
      </c>
      <c r="H974">
        <f>H973+M973*dz.</f>
        <v>322.65321397696761</v>
      </c>
      <c r="I974">
        <f>I973+N973*dz.</f>
        <v>321.87919739891299</v>
      </c>
      <c r="J974">
        <f>(10^(AntA.-AntB./(AntC.+(H974-273.15)))*101325/760)</f>
        <v>12005.567132809625</v>
      </c>
      <c r="K974">
        <f>(J974/(R.*H974)-G974)</f>
        <v>0.15733276322422451</v>
      </c>
      <c r="L974">
        <f>a.*kc./G.*K974</f>
        <v>0.13494977122207177</v>
      </c>
      <c r="M974">
        <f>a.*h./(L.*Cpw.)*(H974-I974)+a.*lambda.*kc./(L.*Cpw.)*K974</f>
        <v>0.74787631759042184</v>
      </c>
      <c r="N974">
        <f>a.*kc./G.*(H974-I974)</f>
        <v>0.66390088110063961</v>
      </c>
    </row>
    <row r="975" spans="5:14" x14ac:dyDescent="0.25">
      <c r="E975">
        <v>973</v>
      </c>
      <c r="F975">
        <f>dz.*E975</f>
        <v>22.123221006066938</v>
      </c>
      <c r="G975">
        <f>G974+L974*dz.</f>
        <v>4.3211851464848614</v>
      </c>
      <c r="H975">
        <f>H974+M974*dz.</f>
        <v>322.67021853304084</v>
      </c>
      <c r="I975">
        <f>I974+N974*dz.</f>
        <v>321.89429259512957</v>
      </c>
      <c r="J975">
        <f>(10^(AntA.-AntB./(AntC.+(H975-273.15)))*101325/760)</f>
        <v>12015.733599140407</v>
      </c>
      <c r="K975">
        <f>(J975/(R.*H975)-G975)</f>
        <v>0.1578182073619061</v>
      </c>
      <c r="L975">
        <f>a.*kc./G.*K975</f>
        <v>0.13536615350621092</v>
      </c>
      <c r="M975">
        <f>a.*h./(L.*Cpw.)*(H975-I975)+a.*lambda.*kc./(L.*Cpw.)*K975</f>
        <v>0.75012665208348173</v>
      </c>
      <c r="N975">
        <f>a.*kc./G.*(H975-I975)</f>
        <v>0.66553860531367515</v>
      </c>
    </row>
    <row r="976" spans="5:14" x14ac:dyDescent="0.25">
      <c r="E976">
        <v>974</v>
      </c>
      <c r="F976">
        <f>dz.*E976</f>
        <v>22.145958129403081</v>
      </c>
      <c r="G976">
        <f>G975+L975*dz.</f>
        <v>4.3242629834126713</v>
      </c>
      <c r="H976">
        <f>H975+M975*dz.</f>
        <v>322.68727425524696</v>
      </c>
      <c r="I976">
        <f>I975+N975*dz.</f>
        <v>321.90942502848355</v>
      </c>
      <c r="J976">
        <f>(10^(AntA.-AntB./(AntC.+(H976-273.15)))*101325/760)</f>
        <v>12025.938075037511</v>
      </c>
      <c r="K976">
        <f>(J976/(R.*H976)-G976)</f>
        <v>0.15830726660535177</v>
      </c>
      <c r="L976">
        <f>a.*kc./G.*K976</f>
        <v>0.1357856365920255</v>
      </c>
      <c r="M976">
        <f>a.*h./(L.*Cpw.)*(H976-I976)+a.*lambda.*kc./(L.*Cpw.)*K976</f>
        <v>0.7523937101827054</v>
      </c>
      <c r="N976">
        <f>a.*kc./G.*(H976-I976)</f>
        <v>0.66718827690954208</v>
      </c>
    </row>
    <row r="977" spans="5:14" x14ac:dyDescent="0.25">
      <c r="E977">
        <v>975</v>
      </c>
      <c r="F977">
        <f>dz.*E977</f>
        <v>22.168695252739223</v>
      </c>
      <c r="G977">
        <f>G976+L976*dz.</f>
        <v>4.3273503581791406</v>
      </c>
      <c r="H977">
        <f>H976+M976*dz.</f>
        <v>322.70438152383275</v>
      </c>
      <c r="I977">
        <f>I976+N976*dz.</f>
        <v>321.92459497062407</v>
      </c>
      <c r="J977">
        <f>(10^(AntA.-AntB./(AntC.+(H977-273.15)))*101325/760)</f>
        <v>12036.180859585813</v>
      </c>
      <c r="K977">
        <f>(J977/(R.*H977)-G977)</f>
        <v>0.15879997286974135</v>
      </c>
      <c r="L977">
        <f>a.*kc./G.*K977</f>
        <v>0.13620824785427288</v>
      </c>
      <c r="M977">
        <f>a.*h./(L.*Cpw.)*(H977-I977)+a.*lambda.*kc./(L.*Cpw.)*K977</f>
        <v>0.75467763781181274</v>
      </c>
      <c r="N977">
        <f>a.*kc./G.*(H977-I977)</f>
        <v>0.66884998903621073</v>
      </c>
    </row>
    <row r="978" spans="5:14" x14ac:dyDescent="0.25">
      <c r="E978">
        <v>976</v>
      </c>
      <c r="F978">
        <f>dz.*E978</f>
        <v>22.191432376075365</v>
      </c>
      <c r="G978">
        <f>G977+L977*dz.</f>
        <v>4.3304473419100029</v>
      </c>
      <c r="H978">
        <f>H977+M977*dz.</f>
        <v>322.7215407223627</v>
      </c>
      <c r="I978">
        <f>I977+N977*dz.</f>
        <v>321.93980269531818</v>
      </c>
      <c r="J978">
        <f>(10^(AntA.-AntB./(AntC.+(H978-273.15)))*101325/760)</f>
        <v>12046.46225480947</v>
      </c>
      <c r="K978">
        <f>(J978/(R.*H978)-G978)</f>
        <v>0.15929635844598966</v>
      </c>
      <c r="L978">
        <f>a.*kc./G.*K978</f>
        <v>0.13663401498999131</v>
      </c>
      <c r="M978">
        <f>a.*h./(L.*Cpw.)*(H978-I978)+a.*lambda.*kc./(L.*Cpw.)*K978</f>
        <v>0.75697858260306716</v>
      </c>
      <c r="N978">
        <f>a.*kc./G.*(H978-I978)</f>
        <v>0.67052383587075637</v>
      </c>
    </row>
    <row r="979" spans="5:14" x14ac:dyDescent="0.25">
      <c r="E979">
        <v>977</v>
      </c>
      <c r="F979">
        <f>dz.*E979</f>
        <v>22.214169499411508</v>
      </c>
      <c r="G979">
        <f>G978+L978*dz.</f>
        <v>4.3335540063607425</v>
      </c>
      <c r="H979">
        <f>H978+M978*dz.</f>
        <v>322.73875223775815</v>
      </c>
      <c r="I979">
        <f>I978+N978*dz.</f>
        <v>321.95504847847417</v>
      </c>
      <c r="J979">
        <f>(10^(AntA.-AntB./(AntC.+(H979-273.15)))*101325/760)</f>
        <v>12056.782565709243</v>
      </c>
      <c r="K979">
        <f>(J979/(R.*H979)-G979)</f>
        <v>0.15979645600601433</v>
      </c>
      <c r="L979">
        <f>a.*kc./G.*K979</f>
        <v>0.13706296602301846</v>
      </c>
      <c r="M979">
        <f>a.*h./(L.*Cpw.)*(H979-I979)+a.*lambda.*kc./(L.*Cpw.)*K979</f>
        <v>0.75929669392110877</v>
      </c>
      <c r="N979">
        <f>a.*kc./G.*(H979-I979)</f>
        <v>0.6722099126329133</v>
      </c>
    </row>
    <row r="980" spans="5:14" x14ac:dyDescent="0.25">
      <c r="E980">
        <v>978</v>
      </c>
      <c r="F980">
        <f>dz.*E980</f>
        <v>22.23690662274765</v>
      </c>
      <c r="G980">
        <f>G979+L979*dz.</f>
        <v>4.3366704239240255</v>
      </c>
      <c r="H980">
        <f>H979+M979*dz.</f>
        <v>322.75601646033658</v>
      </c>
      <c r="I980">
        <f>I979+N979*dz.</f>
        <v>321.9703325981655</v>
      </c>
      <c r="J980">
        <f>(10^(AntA.-AntB./(AntC.+(H980-273.15)))*101325/760)</f>
        <v>12067.142100300407</v>
      </c>
      <c r="K980">
        <f>(J980/(R.*H980)-G980)</f>
        <v>0.16030029860809591</v>
      </c>
      <c r="L980">
        <f>a.*kc./G.*K980</f>
        <v>0.13749512930858881</v>
      </c>
      <c r="M980">
        <f>a.*h./(L.*Cpw.)*(H980-I980)+a.*lambda.*kc./(L.*Cpw.)*K980</f>
        <v>0.76163212288712279</v>
      </c>
      <c r="N980">
        <f>a.*kc./G.*(H980-I980)</f>
        <v>0.67390831559828857</v>
      </c>
    </row>
    <row r="981" spans="5:14" x14ac:dyDescent="0.25">
      <c r="E981">
        <v>979</v>
      </c>
      <c r="F981">
        <f>dz.*E981</f>
        <v>22.259643746083793</v>
      </c>
      <c r="G981">
        <f>G980+L980*dz.</f>
        <v>4.3397966676372342</v>
      </c>
      <c r="H981">
        <f>H980+M980*dz.</f>
        <v>322.77333378385146</v>
      </c>
      <c r="I981">
        <f>I980+N980*dz.</f>
        <v>321.9856553346545</v>
      </c>
      <c r="J981">
        <f>(10^(AntA.-AntB./(AntC.+(H981-273.15)))*101325/760)</f>
        <v>12077.541169651222</v>
      </c>
      <c r="K981">
        <f>(J981/(R.*H981)-G981)</f>
        <v>0.16080791970233221</v>
      </c>
      <c r="L981">
        <f>a.*kc./G.*K981</f>
        <v>0.13793053353801213</v>
      </c>
      <c r="M981">
        <f>a.*h./(L.*Cpw.)*(H981-I981)+a.*lambda.*kc./(L.*Cpw.)*K981</f>
        <v>0.76398502240348309</v>
      </c>
      <c r="N981">
        <f>a.*kc./G.*(H981-I981)</f>
        <v>0.67561914211215934</v>
      </c>
    </row>
    <row r="982" spans="5:14" x14ac:dyDescent="0.25">
      <c r="E982">
        <v>980</v>
      </c>
      <c r="F982">
        <f>dz.*E982</f>
        <v>22.282380869419935</v>
      </c>
      <c r="G982">
        <f>G981+L981*dz.</f>
        <v>4.3429328111901082</v>
      </c>
      <c r="H982">
        <f>H981+M981*dz.</f>
        <v>322.79070460553282</v>
      </c>
      <c r="I982">
        <f>I981+N981*dz.</f>
        <v>322.00101697041697</v>
      </c>
      <c r="J982">
        <f>(10^(AntA.-AntB./(AntC.+(H982-273.15)))*101325/760)</f>
        <v>12087.980087921884</v>
      </c>
      <c r="K982">
        <f>(J982/(R.*H982)-G982)</f>
        <v>0.16131935313613344</v>
      </c>
      <c r="L982">
        <f>a.*kc./G.*K982</f>
        <v>0.13836920774338685</v>
      </c>
      <c r="M982">
        <f>a.*h./(L.*Cpw.)*(H982-I982)+a.*lambda.*kc./(L.*Cpw.)*K982</f>
        <v>0.76635554717855781</v>
      </c>
      <c r="N982">
        <f>a.*kc./G.*(H982-I982)</f>
        <v>0.67734249060322294</v>
      </c>
    </row>
    <row r="983" spans="5:14" x14ac:dyDescent="0.25">
      <c r="E983">
        <v>981</v>
      </c>
      <c r="F983">
        <f>dz.*E983</f>
        <v>22.305117992756077</v>
      </c>
      <c r="G983">
        <f>G982+L982*dz.</f>
        <v>4.3460789289324939</v>
      </c>
      <c r="H983">
        <f>H982+M982*dz.</f>
        <v>322.80812932612838</v>
      </c>
      <c r="I983">
        <f>I982+N982*dz.</f>
        <v>322.0164177901666</v>
      </c>
      <c r="J983">
        <f>(10^(AntA.-AntB./(AntC.+(H983-273.15)))*101325/760)</f>
        <v>12098.459172404309</v>
      </c>
      <c r="K983">
        <f>(J983/(R.*H983)-G983)</f>
        <v>0.16183463315989677</v>
      </c>
      <c r="L983">
        <f>a.*kc./G.*K983</f>
        <v>0.13881118130246725</v>
      </c>
      <c r="M983">
        <f>a.*h./(L.*Cpw.)*(H983-I983)+a.*lambda.*kc./(L.*Cpw.)*K983</f>
        <v>0.76874385375233867</v>
      </c>
      <c r="N983">
        <f>a.*kc./G.*(H983-I983)</f>
        <v>0.67907846059788179</v>
      </c>
    </row>
    <row r="984" spans="5:14" x14ac:dyDescent="0.25">
      <c r="E984">
        <v>982</v>
      </c>
      <c r="F984">
        <f>dz.*E984</f>
        <v>22.327855116092223</v>
      </c>
      <c r="G984">
        <f>G983+L983*dz.</f>
        <v>4.3492350958822037</v>
      </c>
      <c r="H984">
        <f>H983+M983*dz.</f>
        <v>322.82560834994507</v>
      </c>
      <c r="I984">
        <f>I983+N983*dz.</f>
        <v>322.03185808088011</v>
      </c>
      <c r="J984">
        <f>(10^(AntA.-AntB./(AntC.+(H984-273.15)))*101325/760)</f>
        <v>12108.978743562251</v>
      </c>
      <c r="K984">
        <f>(J984/(R.*H984)-G984)</f>
        <v>0.16235379443268183</v>
      </c>
      <c r="L984">
        <f>a.*kc./G.*K984</f>
        <v>0.13925648394353163</v>
      </c>
      <c r="M984">
        <f>a.*h./(L.*Cpw.)*(H984-I984)+a.*lambda.*kc./(L.*Cpw.)*K984</f>
        <v>0.77115010052204525</v>
      </c>
      <c r="N984">
        <f>a.*kc./G.*(H984-I984)</f>
        <v>0.68082715273433458</v>
      </c>
    </row>
    <row r="985" spans="5:14" x14ac:dyDescent="0.25">
      <c r="E985">
        <v>983</v>
      </c>
      <c r="F985">
        <f>dz.*E985</f>
        <v>22.350592239428366</v>
      </c>
      <c r="G985">
        <f>G984+L984*dz.</f>
        <v>4.3524013877329857</v>
      </c>
      <c r="H985">
        <f>H984+M984*dz.</f>
        <v>322.84314208489133</v>
      </c>
      <c r="I985">
        <f>I984+N984*dz.</f>
        <v>322.04733813182241</v>
      </c>
      <c r="J985">
        <f>(10^(AntA.-AntB./(AntC.+(H985-273.15)))*101325/760)</f>
        <v>12119.539125072317</v>
      </c>
      <c r="K985">
        <f>(J985/(R.*H985)-G985)</f>
        <v>0.1628768720280771</v>
      </c>
      <c r="L985">
        <f>a.*kc./G.*K985</f>
        <v>0.13970514575041404</v>
      </c>
      <c r="M985">
        <f>a.*h./(L.*Cpw.)*(H985-I985)+a.*lambda.*kc./(L.*Cpw.)*K985</f>
        <v>0.77357444776860718</v>
      </c>
      <c r="N985">
        <f>a.*kc./G.*(H985-I985)</f>
        <v>0.68258866877725222</v>
      </c>
    </row>
    <row r="986" spans="5:14" x14ac:dyDescent="0.25">
      <c r="E986">
        <v>984</v>
      </c>
      <c r="F986">
        <f>dz.*E986</f>
        <v>22.373329362764508</v>
      </c>
      <c r="G986">
        <f>G985+L985*dz.</f>
        <v>4.3555778808626062</v>
      </c>
      <c r="H986">
        <f>H985+M985*dz.</f>
        <v>322.86073094251992</v>
      </c>
      <c r="I986">
        <f>I985+N985*dz.</f>
        <v>322.06285823457227</v>
      </c>
      <c r="J986">
        <f>(10^(AntA.-AntB./(AntC.+(H986-273.15)))*101325/760)</f>
        <v>12130.140643865265</v>
      </c>
      <c r="K986">
        <f>(J986/(R.*H986)-G986)</f>
        <v>0.16340390144004147</v>
      </c>
      <c r="L986">
        <f>a.*kc./G.*K986</f>
        <v>0.14015719716751482</v>
      </c>
      <c r="M986">
        <f>a.*h./(L.*Cpw.)*(H986-I986)+a.*lambda.*kc./(L.*Cpw.)*K986</f>
        <v>0.77601705768304952</v>
      </c>
      <c r="N986">
        <f>a.*kc./G.*(H986-I986)</f>
        <v>0.68436311163250141</v>
      </c>
    </row>
    <row r="987" spans="5:14" x14ac:dyDescent="0.25">
      <c r="E987">
        <v>985</v>
      </c>
      <c r="F987">
        <f>dz.*E987</f>
        <v>22.396066486100651</v>
      </c>
      <c r="G987">
        <f>G986+L986*dz.</f>
        <v>4.3587646523410521</v>
      </c>
      <c r="H987">
        <f>H986+M986*dz.</f>
        <v>322.87837533807141</v>
      </c>
      <c r="I987">
        <f>I986+N986*dz.</f>
        <v>322.07841868304814</v>
      </c>
      <c r="J987">
        <f>(10^(AntA.-AntB./(AntC.+(H987-273.15)))*101325/760)</f>
        <v>12140.783630168382</v>
      </c>
      <c r="K987">
        <f>(J987/(R.*H987)-G987)</f>
        <v>0.163934918588998</v>
      </c>
      <c r="L987">
        <f>a.*kc./G.*K987</f>
        <v>0.1406126690050275</v>
      </c>
      <c r="M987">
        <f>a.*h./(L.*Cpw.)*(H987-I987)+a.*lambda.*kc./(L.*Cpw.)*K987</f>
        <v>0.77847809439398241</v>
      </c>
      <c r="N987">
        <f>a.*kc./G.*(H987-I987)</f>
        <v>0.68615058536226003</v>
      </c>
    </row>
    <row r="988" spans="5:14" x14ac:dyDescent="0.25">
      <c r="E988">
        <v>986</v>
      </c>
      <c r="F988">
        <f>dz.*E988</f>
        <v>22.418803609436793</v>
      </c>
      <c r="G988">
        <f>G987+L987*dz.</f>
        <v>4.3619617799388433</v>
      </c>
      <c r="H988">
        <f>H987+M987*dz.</f>
        <v>322.8960756905181</v>
      </c>
      <c r="I988">
        <f>I987+N987*dz.</f>
        <v>322.09401977353468</v>
      </c>
      <c r="J988">
        <f>(10^(AntA.-AntB./(AntC.+(H988-273.15)))*101325/760)</f>
        <v>12151.468417548163</v>
      </c>
      <c r="K988">
        <f>(J988/(R.*H988)-G988)</f>
        <v>0.16446995982791801</v>
      </c>
      <c r="L988">
        <f>a.*kc./G.*K988</f>
        <v>0.14107159244415712</v>
      </c>
      <c r="M988">
        <f>a.*h./(L.*Cpw.)*(H988-I988)+a.*lambda.*kc./(L.*Cpw.)*K988</f>
        <v>0.78095772399503072</v>
      </c>
      <c r="N988">
        <f>a.*kc./G.*(H988-I988)</f>
        <v>0.68795119519998527</v>
      </c>
    </row>
    <row r="989" spans="5:14" x14ac:dyDescent="0.25">
      <c r="E989">
        <v>987</v>
      </c>
      <c r="F989">
        <f>dz.*E989</f>
        <v>22.441540732772935</v>
      </c>
      <c r="G989">
        <f>G988+L988*dz.</f>
        <v>4.3651693421354718</v>
      </c>
      <c r="H989">
        <f>H988+M988*dz.</f>
        <v>322.91383242260889</v>
      </c>
      <c r="I989">
        <f>I988+N988*dz.</f>
        <v>322.10966180470922</v>
      </c>
      <c r="J989">
        <f>(10^(AntA.-AntB./(AntC.+(H989-273.15)))*101325/760)</f>
        <v>12162.195342953746</v>
      </c>
      <c r="K989">
        <f>(J989/(R.*H989)-G989)</f>
        <v>0.16500906194851428</v>
      </c>
      <c r="L989">
        <f>a.*kc./G.*K989</f>
        <v>0.14153399904243263</v>
      </c>
      <c r="M989">
        <f>a.*h./(L.*Cpw.)*(H989-I989)+a.*lambda.*kc./(L.*Cpw.)*K989</f>
        <v>0.78345611457282649</v>
      </c>
      <c r="N989">
        <f>a.*kc./G.*(H989-I989)</f>
        <v>0.68976504756616142</v>
      </c>
    </row>
    <row r="990" spans="5:14" x14ac:dyDescent="0.25">
      <c r="E990">
        <v>988</v>
      </c>
      <c r="F990">
        <f>dz.*E990</f>
        <v>22.464277856109078</v>
      </c>
      <c r="G990">
        <f>G989+L989*dz.</f>
        <v>4.3683874181279574</v>
      </c>
      <c r="H990">
        <f>H989+M989*dz.</f>
        <v>322.93164596091441</v>
      </c>
      <c r="I990">
        <f>I989+N989*dz.</f>
        <v>322.12534507766867</v>
      </c>
      <c r="J990">
        <f>(10^(AntA.-AntB./(AntC.+(H990-273.15)))*101325/760)</f>
        <v>12172.96474676115</v>
      </c>
      <c r="K990">
        <f>(J990/(R.*H990)-G990)</f>
        <v>0.16555226218761643</v>
      </c>
      <c r="L990">
        <f>a.*kc./G.*K990</f>
        <v>0.14199992073917508</v>
      </c>
      <c r="M990">
        <f>a.*h./(L.*Cpw.)*(H990-I990)+a.*lambda.*kc./(L.*Cpw.)*K990</f>
        <v>0.78597343623574756</v>
      </c>
      <c r="N990">
        <f>a.*kc./G.*(H990-I990)</f>
        <v>0.69159225008395153</v>
      </c>
    </row>
    <row r="991" spans="5:14" x14ac:dyDescent="0.25">
      <c r="E991">
        <v>989</v>
      </c>
      <c r="F991">
        <f>dz.*E991</f>
        <v>22.48701497944522</v>
      </c>
      <c r="G991">
        <f>G990+L990*dz.</f>
        <v>4.3716160878395263</v>
      </c>
      <c r="H991">
        <f>H990+M990*dz.</f>
        <v>322.94951673587303</v>
      </c>
      <c r="I991">
        <f>I990+N990*dz.</f>
        <v>322.14106989595717</v>
      </c>
      <c r="J991">
        <f>(10^(AntA.-AntB./(AntC.+(H991-273.15)))*101325/760)</f>
        <v>12183.776972817968</v>
      </c>
      <c r="K991">
        <f>(J991/(R.*H991)-G991)</f>
        <v>0.16609959823354536</v>
      </c>
      <c r="L991">
        <f>a.*kc./G.*K991</f>
        <v>0.1424693898609653</v>
      </c>
      <c r="M991">
        <f>a.*h./(L.*Cpw.)*(H991-I991)+a.*lambda.*kc./(L.*Cpw.)*K991</f>
        <v>0.78850986114266408</v>
      </c>
      <c r="N991">
        <f>a.*kc./G.*(H991-I991)</f>
        <v>0.69343291159494524</v>
      </c>
    </row>
    <row r="992" spans="5:14" x14ac:dyDescent="0.25">
      <c r="E992">
        <v>990</v>
      </c>
      <c r="F992">
        <f>dz.*E992</f>
        <v>22.509752102781363</v>
      </c>
      <c r="G992">
        <f>G991+L991*dz.</f>
        <v>4.3748554319284203</v>
      </c>
      <c r="H992">
        <f>H991+M991*dz.</f>
        <v>322.9674451818376</v>
      </c>
      <c r="I992">
        <f>I991+N991*dz.</f>
        <v>322.15683656559344</v>
      </c>
      <c r="J992">
        <f>(10^(AntA.-AntB./(AntC.+(H992-273.15)))*101325/760)</f>
        <v>12194.632368489061</v>
      </c>
      <c r="K992">
        <f>(J992/(R.*H992)-G992)</f>
        <v>0.16665110823271689</v>
      </c>
      <c r="L992">
        <f>a.*kc./G.*K992</f>
        <v>0.14294243912730795</v>
      </c>
      <c r="M992">
        <f>a.*h./(L.*Cpw.)*(H992-I992)+a.*lambda.*kc./(L.*Cpw.)*K992</f>
        <v>0.79106556353276403</v>
      </c>
      <c r="N992">
        <f>a.*kc./G.*(H992-I992)</f>
        <v>0.69528714217578513</v>
      </c>
    </row>
    <row r="993" spans="5:14" x14ac:dyDescent="0.25">
      <c r="E993">
        <v>991</v>
      </c>
      <c r="F993">
        <f>dz.*E993</f>
        <v>22.532489226117509</v>
      </c>
      <c r="G993">
        <f>G992+L992*dz.</f>
        <v>4.3781055317968267</v>
      </c>
      <c r="H993">
        <f>H992+M992*dz.</f>
        <v>322.98543173712261</v>
      </c>
      <c r="I993">
        <f>I992+N992*dz.</f>
        <v>322.1726453950991</v>
      </c>
      <c r="J993">
        <f>(10^(AntA.-AntB./(AntC.+(H993-273.15)))*101325/760)</f>
        <v>12205.531284702694</v>
      </c>
      <c r="K993">
        <f>(J993/(R.*H993)-G993)</f>
        <v>0.16720683079625598</v>
      </c>
      <c r="L993">
        <f>a.*kc./G.*K993</f>
        <v>0.14341910165630495</v>
      </c>
      <c r="M993">
        <f>a.*h./(L.*Cpw.)*(H993-I993)+a.*lambda.*kc./(L.*Cpw.)*K993</f>
        <v>0.79364071975535355</v>
      </c>
      <c r="N993">
        <f>a.*kc./G.*(H993-I993)</f>
        <v>0.69715505315430459</v>
      </c>
    </row>
    <row r="994" spans="5:14" x14ac:dyDescent="0.25">
      <c r="E994">
        <v>992</v>
      </c>
      <c r="F994">
        <f>dz.*E994</f>
        <v>22.555226349453651</v>
      </c>
      <c r="G994">
        <f>G993+L993*dz.</f>
        <v>4.3813664695999446</v>
      </c>
      <c r="H994">
        <f>H993+M993*dz.</f>
        <v>323.00347684405227</v>
      </c>
      <c r="I994">
        <f>I993+N993*dz.</f>
        <v>322.18849669552708</v>
      </c>
      <c r="J994">
        <f>(10^(AntA.-AntB./(AntC.+(H994-273.15)))*101325/760)</f>
        <v>12216.474075997587</v>
      </c>
      <c r="K994">
        <f>(J994/(R.*H994)-G994)</f>
        <v>0.16776680500679042</v>
      </c>
      <c r="L994">
        <f>a.*kc./G.*K994</f>
        <v>0.14389941097048248</v>
      </c>
      <c r="M994">
        <f>a.*h./(L.*Cpw.)*(H994-I994)+a.*lambda.*kc./(L.*Cpw.)*K994</f>
        <v>0.79623550830051448</v>
      </c>
      <c r="N994">
        <f>a.*kc./G.*(H994-I994)</f>
        <v>0.69903675712644708</v>
      </c>
    </row>
    <row r="995" spans="5:14" x14ac:dyDescent="0.25">
      <c r="E995">
        <v>993</v>
      </c>
      <c r="F995">
        <f>dz.*E995</f>
        <v>22.577963472789794</v>
      </c>
      <c r="G995">
        <f>G994+L994*dz.</f>
        <v>4.3846383282551784</v>
      </c>
      <c r="H995">
        <f>H994+M994*dz.</f>
        <v>323.02158094900909</v>
      </c>
      <c r="I995">
        <f>I994+N994*dz.</f>
        <v>322.20439078049037</v>
      </c>
      <c r="J995">
        <f>(10^(AntA.-AntB./(AntC.+(H995-273.15)))*101325/760)</f>
        <v>12227.461100570616</v>
      </c>
      <c r="K995">
        <f>(J995/(R.*H995)-G995)</f>
        <v>0.16833107042533335</v>
      </c>
      <c r="L995">
        <f>a.*kc./G.*K995</f>
        <v>0.14438340100269448</v>
      </c>
      <c r="M995">
        <f>a.*h./(L.*Cpw.)*(H995-I995)+a.*lambda.*kc./(L.*Cpw.)*K995</f>
        <v>0.79885010983013749</v>
      </c>
      <c r="N995">
        <f>a.*kc./G.*(H995-I995)</f>
        <v>0.70093236797323288</v>
      </c>
    </row>
    <row r="996" spans="5:14" x14ac:dyDescent="0.25">
      <c r="E996">
        <v>994</v>
      </c>
      <c r="F996">
        <f>dz.*E996</f>
        <v>22.600700596125936</v>
      </c>
      <c r="G996">
        <f>G995+L995*dz.</f>
        <v>4.3879211914514684</v>
      </c>
      <c r="H996">
        <f>H995+M995*dz.</f>
        <v>323.03974450248342</v>
      </c>
      <c r="I996">
        <f>I995+N995*dz.</f>
        <v>322.22032796619129</v>
      </c>
      <c r="J996">
        <f>(10^(AntA.-AntB./(AntC.+(H996-273.15)))*101325/760)</f>
        <v>12238.492720325306</v>
      </c>
      <c r="K996">
        <f>(J996/(R.*H996)-G996)</f>
        <v>0.16889966709828741</v>
      </c>
      <c r="L996">
        <f>a.*kc./G.*K996</f>
        <v>0.14487110610213028</v>
      </c>
      <c r="M996">
        <f>a.*h./(L.*Cpw.)*(H996-I996)+a.*lambda.*kc./(L.*Cpw.)*K996</f>
        <v>0.80148470720952436</v>
      </c>
      <c r="N996">
        <f>a.*kc./G.*(H996-I996)</f>
        <v>0.70284200087816551</v>
      </c>
    </row>
    <row r="997" spans="5:14" x14ac:dyDescent="0.25">
      <c r="E997">
        <v>995</v>
      </c>
      <c r="F997">
        <f>dz.*E997</f>
        <v>22.623437719462078</v>
      </c>
      <c r="G997">
        <f>G996+L996*dz.</f>
        <v>4.3912151436587559</v>
      </c>
      <c r="H997">
        <f>H996+M996*dz.</f>
        <v>323.05796795912329</v>
      </c>
      <c r="I997">
        <f>I996+N996*dz.</f>
        <v>322.2363085714511</v>
      </c>
      <c r="J997">
        <f>(10^(AntA.-AntB./(AntC.+(H997-273.15)))*101325/760)</f>
        <v>12249.569300920997</v>
      </c>
      <c r="K997">
        <f>(J997/(R.*H997)-G997)</f>
        <v>0.16947263556455106</v>
      </c>
      <c r="L997">
        <f>a.*kc./G.*K997</f>
        <v>0.14536256104041001</v>
      </c>
      <c r="M997">
        <f>a.*h./(L.*Cpw.)*(H997-I997)+a.*lambda.*kc./(L.*Cpw.)*K997</f>
        <v>0.80413948553940862</v>
      </c>
      <c r="N997">
        <f>a.*kc./G.*(H997-I997)</f>
        <v>0.7047657723445887</v>
      </c>
    </row>
    <row r="998" spans="5:14" x14ac:dyDescent="0.25">
      <c r="E998">
        <v>996</v>
      </c>
      <c r="F998">
        <f>dz.*E998</f>
        <v>22.646174842798221</v>
      </c>
      <c r="G998">
        <f>G997+L997*dz.</f>
        <v>4.3945202701375896</v>
      </c>
      <c r="H998">
        <f>H997+M997*dz.</f>
        <v>323.07625177778544</v>
      </c>
      <c r="I998">
        <f>I997+N997*dz.</f>
        <v>322.25233291773998</v>
      </c>
      <c r="J998">
        <f>(10^(AntA.-AntB./(AntC.+(H998-273.15)))*101325/760)</f>
        <v>12260.691211822998</v>
      </c>
      <c r="K998">
        <f>(J998/(R.*H998)-G998)</f>
        <v>0.17005001686280075</v>
      </c>
      <c r="L998">
        <f>a.*kc./G.*K998</f>
        <v>0.14585780101783069</v>
      </c>
      <c r="M998">
        <f>a.*h./(L.*Cpw.)*(H998-I998)+a.*lambda.*kc./(L.*Cpw.)*K998</f>
        <v>0.80681463218880334</v>
      </c>
      <c r="N998">
        <f>a.*kc./G.*(H998-I998)</f>
        <v>0.7067038002137267</v>
      </c>
    </row>
    <row r="999" spans="5:14" x14ac:dyDescent="0.25">
      <c r="E999">
        <v>997</v>
      </c>
      <c r="F999">
        <f>dz.*E999</f>
        <v>22.668911966134363</v>
      </c>
      <c r="G999">
        <f>G998+L998*dz.</f>
        <v>4.3978366569488703</v>
      </c>
      <c r="H999">
        <f>H998+M998*dz.</f>
        <v>323.09459642158691</v>
      </c>
      <c r="I999">
        <f>I998+N998*dz.</f>
        <v>322.26840132920756</v>
      </c>
      <c r="J999">
        <f>(10^(AntA.-AntB./(AntC.+(H999-273.15)))*101325/760)</f>
        <v>12271.858826353357</v>
      </c>
      <c r="K999">
        <f>(J999/(R.*H999)-G999)</f>
        <v>0.17063185253885749</v>
      </c>
      <c r="L999">
        <f>a.*kc./G.*K999</f>
        <v>0.14635686166968484</v>
      </c>
      <c r="M999">
        <f>a.*h./(L.*Cpw.)*(H999-I999)+a.*lambda.*kc./(L.*Cpw.)*K999</f>
        <v>0.80951033682820062</v>
      </c>
      <c r="N999">
        <f>a.*kc./G.*(H999-I999)</f>
        <v>0.70865620368272397</v>
      </c>
    </row>
    <row r="1000" spans="5:14" x14ac:dyDescent="0.25">
      <c r="E1000">
        <v>998</v>
      </c>
      <c r="F1000">
        <f>dz.*E1000</f>
        <v>22.691649089470506</v>
      </c>
      <c r="G1000">
        <f>G999+L999*dz.</f>
        <v>4.4011643909637446</v>
      </c>
      <c r="H1000">
        <f>H999+M999*dz.</f>
        <v>323.11300235795727</v>
      </c>
      <c r="I1000">
        <f>I999+N999*dz.</f>
        <v>322.28451413271364</v>
      </c>
      <c r="J1000">
        <f>(10^(AntA.-AntB./(AntC.+(H1000-273.15)))*101325/760)</f>
        <v>12283.072521742546</v>
      </c>
      <c r="K1000">
        <f>(J1000/(R.*H1000)-G1000)</f>
        <v>0.17121818465319461</v>
      </c>
      <c r="L1000">
        <f>a.*kc./G.*K1000</f>
        <v>0.14685977907270015</v>
      </c>
      <c r="M1000">
        <f>a.*h./(L.*Cpw.)*(H1000-I1000)+a.*lambda.*kc./(L.*Cpw.)*K1000</f>
        <v>0.81222679146342802</v>
      </c>
      <c r="N1000">
        <f>a.*kc./G.*(H1000-I1000)</f>
        <v>0.71062310332317291</v>
      </c>
    </row>
    <row r="1001" spans="5:14" x14ac:dyDescent="0.25">
      <c r="E1001">
        <v>999</v>
      </c>
      <c r="F1001">
        <f>dz.*E1001</f>
        <v>22.714386212806648</v>
      </c>
      <c r="G1001">
        <f>G1000+L1000*dz.</f>
        <v>4.4045035598736391</v>
      </c>
      <c r="H1001">
        <f>H1000+M1000*dz.</f>
        <v>323.13147005869172</v>
      </c>
      <c r="I1001">
        <f>I1000+N1000*dz.</f>
        <v>322.30067165785943</v>
      </c>
      <c r="J1001">
        <f>(10^(AntA.-AntB./(AntC.+(H1001-273.15)))*101325/760)</f>
        <v>12294.332679181869</v>
      </c>
      <c r="K1001">
        <f>(J1001/(R.*H1001)-G1001)</f>
        <v>0.17180905578855477</v>
      </c>
      <c r="L1001">
        <f>a.*kc./G.*K1001</f>
        <v>0.1473665897515728</v>
      </c>
      <c r="M1001">
        <f>a.*h./(L.*Cpw.)*(H1001-I1001)+a.*lambda.*kc./(L.*Cpw.)*K1001</f>
        <v>0.81496419046997937</v>
      </c>
      <c r="N1001">
        <f>a.*kc./G.*(H1001-I1001)</f>
        <v>0.71260462109978739</v>
      </c>
    </row>
    <row r="1002" spans="5:14" x14ac:dyDescent="0.25">
      <c r="E1002">
        <v>1000</v>
      </c>
      <c r="F1002">
        <f>dz.*E1002</f>
        <v>22.73712333614279</v>
      </c>
      <c r="G1002">
        <f>G1001+L1001*dz.</f>
        <v>4.4078542522004476</v>
      </c>
      <c r="H1002">
        <f>H1001+M1001*dz.</f>
        <v>323.15000000000498</v>
      </c>
      <c r="I1002">
        <f>I1001+N1001*dz.</f>
        <v>322.31687423701925</v>
      </c>
      <c r="J1002">
        <f>(10^(AntA.-AntB./(AntC.+(H1002-273.15)))*101325/760)</f>
        <v>12305.639683876934</v>
      </c>
      <c r="K1002">
        <f>(J1002/(R.*H1002)-G1002)</f>
        <v>0.17240450905777482</v>
      </c>
      <c r="L1002">
        <f>a.*kc./G.*K1002</f>
        <v>0.14787733068567921</v>
      </c>
      <c r="M1002">
        <f>a.*h./(L.*Cpw.)*(H1002-I1002)+a.*lambda.*kc./(L.*Cpw.)*K1002</f>
        <v>0.81772273062826628</v>
      </c>
      <c r="N1002">
        <f>a.*kc./G.*(H1002-I1002)</f>
        <v>0.71460088038946656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HeadingPairs>
  <TitlesOfParts>
    <vt:vector size="21" baseType="lpstr">
      <vt:lpstr>Sheet1</vt:lpstr>
      <vt:lpstr>a.</vt:lpstr>
      <vt:lpstr>AntA.</vt:lpstr>
      <vt:lpstr>AntB.</vt:lpstr>
      <vt:lpstr>AntC.</vt:lpstr>
      <vt:lpstr>CairIn.</vt:lpstr>
      <vt:lpstr>Cpa.</vt:lpstr>
      <vt:lpstr>Cpw.</vt:lpstr>
      <vt:lpstr>Csat.</vt:lpstr>
      <vt:lpstr>dz.</vt:lpstr>
      <vt:lpstr>G.</vt:lpstr>
      <vt:lpstr>h.</vt:lpstr>
      <vt:lpstr>kc.</vt:lpstr>
      <vt:lpstr>L.</vt:lpstr>
      <vt:lpstr>lambda.</vt:lpstr>
      <vt:lpstr>R.</vt:lpstr>
      <vt:lpstr>RHairIn.</vt:lpstr>
      <vt:lpstr>rhoair.</vt:lpstr>
      <vt:lpstr>TairIn.</vt:lpstr>
      <vt:lpstr>Twin.</vt:lpstr>
      <vt:lpstr>Twoutguess.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2026-04-15T14:18:35Z</dcterms:created>
  <dcterms:modified xsi:type="dcterms:W3CDTF">2026-04-15T15:21:02Z</dcterms:modified>
</cp:coreProperties>
</file>